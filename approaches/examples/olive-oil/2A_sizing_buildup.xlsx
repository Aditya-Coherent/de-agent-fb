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
  <sheetViews>
    <sheetView workbookViewId="0">
      <selection activeCell="A1" sqref="A1"/>
    </sheetView>
  </sheetViews>
  <sheetFormatPr baseColWidth="8" defaultRowHeight="15"/>
  <sheetData>
    <row r="1">
      <c r="A1" s="1" t="inlineStr">
        <is>
          <t>Market Name</t>
        </is>
      </c>
      <c r="B1" t="inlineStr">
        <is>
          <t>Olive Oil</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Spain</t>
        </is>
      </c>
      <c r="B5" t="inlineStr">
        <is>
          <t>Total Olive Oil demand</t>
        </is>
      </c>
      <c r="C5" t="inlineStr">
        <is>
          <t>physical_consumption</t>
        </is>
      </c>
      <c r="D5" t="inlineStr">
        <is>
          <t>Apparent consumption (FAOSTAT Food Balances: Olive Oil)</t>
        </is>
      </c>
      <c r="E5" t="inlineStr">
        <is>
          <t>tonnes</t>
        </is>
      </c>
      <c r="F5" t="inlineStr">
        <is>
          <t>tonnes</t>
        </is>
      </c>
      <c r="G5" t="inlineStr">
        <is>
          <t>driver_value * intensity_value</t>
        </is>
      </c>
      <c r="H5" t="inlineStr">
        <is>
          <t>official_data</t>
        </is>
      </c>
      <c r="I5" t="n">
        <v>480403.118</v>
      </c>
      <c r="J5" s="2" t="inlineStr">
        <is>
          <t>derived</t>
        </is>
      </c>
      <c r="K5" t="inlineStr">
        <is>
          <t>driver=derived, intensity=verified_observed</t>
        </is>
      </c>
      <c r="L5" s="2" t="inlineStr">
        <is>
          <t>derived</t>
        </is>
      </c>
      <c r="M5" t="inlineStr">
        <is>
          <t>FAOSTAT Food Balances</t>
        </is>
      </c>
      <c r="N5" t="inlineStr">
        <is>
          <t>https://www.fao.org/faostat/en/#data/FBS</t>
        </is>
      </c>
      <c r="O5" t="inlineStr">
        <is>
          <t>FAOSTAT Food Balances 'Olive Oil', Domestic supply quantity, Spain, 2023: 493,000 t; 2025 = average of the last 3 data years moved at -4.0%/yr (that country's own trend)</t>
        </is>
      </c>
      <c r="P5" t="n">
        <v>2023</v>
      </c>
      <c r="Q5" t="inlineStr">
        <is>
          <t>verified_observed</t>
        </is>
      </c>
      <c r="R5" t="n">
        <v>4500</v>
      </c>
      <c r="S5" s="3" t="inlineStr">
        <is>
          <t>assumption</t>
        </is>
      </c>
      <c r="T5" t="inlineStr"/>
      <c r="U5" t="inlineStr"/>
      <c r="V5" t="inlineStr"/>
      <c r="W5" t="n">
        <v>2161.814</v>
      </c>
      <c r="X5" t="inlineStr"/>
      <c r="Y5" t="inlineStr">
        <is>
          <t>ok</t>
        </is>
      </c>
      <c r="Z5" t="n">
        <v>4500</v>
      </c>
    </row>
    <row r="6">
      <c r="A6" t="inlineStr">
        <is>
          <t>Italy</t>
        </is>
      </c>
      <c r="B6" t="inlineStr">
        <is>
          <t>Total Olive Oil demand</t>
        </is>
      </c>
      <c r="C6" t="inlineStr">
        <is>
          <t>physical_consumption</t>
        </is>
      </c>
      <c r="D6" t="inlineStr">
        <is>
          <t>Apparent consumption (FAOSTAT Food Balances: Olive Oil)</t>
        </is>
      </c>
      <c r="E6" t="inlineStr">
        <is>
          <t>tonnes</t>
        </is>
      </c>
      <c r="F6" t="inlineStr">
        <is>
          <t>tonnes</t>
        </is>
      </c>
      <c r="G6" t="inlineStr">
        <is>
          <t>driver_value * intensity_value</t>
        </is>
      </c>
      <c r="H6" t="inlineStr">
        <is>
          <t>official_data</t>
        </is>
      </c>
      <c r="I6" t="n">
        <v>549372.3149999999</v>
      </c>
      <c r="J6" s="2" t="inlineStr">
        <is>
          <t>derived</t>
        </is>
      </c>
      <c r="K6" t="inlineStr">
        <is>
          <t>driver=derived, intensity=verified_observed</t>
        </is>
      </c>
      <c r="L6" s="2" t="inlineStr">
        <is>
          <t>derived</t>
        </is>
      </c>
      <c r="M6" t="inlineStr">
        <is>
          <t>FAOSTAT Food Balances</t>
        </is>
      </c>
      <c r="N6" t="inlineStr">
        <is>
          <t>https://www.fao.org/faostat/en/#data/FBS</t>
        </is>
      </c>
      <c r="O6" t="inlineStr">
        <is>
          <t>FAOSTAT Food Balances 'Olive Oil', Domestic supply quantity, Italy, 2023: 535,000 t; 2025 = average of the last 3 data years moved at -0.3%/yr (that country's own trend)</t>
        </is>
      </c>
      <c r="P6" t="n">
        <v>2023</v>
      </c>
      <c r="Q6" t="inlineStr">
        <is>
          <t>verified_observed</t>
        </is>
      </c>
      <c r="R6" t="n">
        <v>4500</v>
      </c>
      <c r="S6" s="3" t="inlineStr">
        <is>
          <t>assumption</t>
        </is>
      </c>
      <c r="T6" t="inlineStr"/>
      <c r="U6" t="inlineStr"/>
      <c r="V6" t="inlineStr"/>
      <c r="W6" t="n">
        <v>2472.1754</v>
      </c>
      <c r="X6" t="inlineStr"/>
      <c r="Y6" t="inlineStr">
        <is>
          <t>ok</t>
        </is>
      </c>
      <c r="Z6" t="n">
        <v>4500</v>
      </c>
    </row>
    <row r="7">
      <c r="A7" t="inlineStr">
        <is>
          <t>Greece</t>
        </is>
      </c>
      <c r="B7" t="inlineStr">
        <is>
          <t>Total Olive Oil demand</t>
        </is>
      </c>
      <c r="C7" t="inlineStr">
        <is>
          <t>physical_consumption</t>
        </is>
      </c>
      <c r="D7" t="inlineStr">
        <is>
          <t>Apparent consumption (FAOSTAT Food Balances: Olive Oil)</t>
        </is>
      </c>
      <c r="E7" t="inlineStr">
        <is>
          <t>tonnes</t>
        </is>
      </c>
      <c r="F7" t="inlineStr">
        <is>
          <t>tonnes</t>
        </is>
      </c>
      <c r="G7" t="inlineStr">
        <is>
          <t>driver_value * intensity_value</t>
        </is>
      </c>
      <c r="H7" t="inlineStr">
        <is>
          <t>official_data</t>
        </is>
      </c>
      <c r="I7" t="n">
        <v>91453.333</v>
      </c>
      <c r="J7" s="2" t="inlineStr">
        <is>
          <t>derived</t>
        </is>
      </c>
      <c r="K7" t="inlineStr">
        <is>
          <t>driver=derived, intensity=verified_observed</t>
        </is>
      </c>
      <c r="L7" s="2" t="inlineStr">
        <is>
          <t>derived</t>
        </is>
      </c>
      <c r="M7" t="inlineStr">
        <is>
          <t>FAOSTAT Food Balances</t>
        </is>
      </c>
      <c r="N7" t="inlineStr">
        <is>
          <t>https://www.fao.org/faostat/en/#data/FBS</t>
        </is>
      </c>
      <c r="O7" t="inlineStr">
        <is>
          <t>FAOSTAT Food Balances 'Olive Oil', Domestic supply quantity, Greece, 2023: 104,000 t; 2025 = average of the last 3 data years moved at -5.0%/yr (that country's own trend)</t>
        </is>
      </c>
      <c r="P7" t="n">
        <v>2023</v>
      </c>
      <c r="Q7" t="inlineStr">
        <is>
          <t>verified_observed</t>
        </is>
      </c>
      <c r="R7" t="n">
        <v>4500</v>
      </c>
      <c r="S7" s="3" t="inlineStr">
        <is>
          <t>assumption</t>
        </is>
      </c>
      <c r="T7" t="inlineStr"/>
      <c r="U7" t="inlineStr"/>
      <c r="V7" t="inlineStr"/>
      <c r="W7" t="n">
        <v>411.54</v>
      </c>
      <c r="X7" t="inlineStr"/>
      <c r="Y7" t="inlineStr">
        <is>
          <t>ok</t>
        </is>
      </c>
      <c r="Z7" t="n">
        <v>4500</v>
      </c>
    </row>
    <row r="8">
      <c r="A8" t="inlineStr">
        <is>
          <t>Tunisia</t>
        </is>
      </c>
      <c r="B8" t="inlineStr">
        <is>
          <t>Total Olive Oil demand</t>
        </is>
      </c>
      <c r="C8" t="inlineStr">
        <is>
          <t>physical_consumption</t>
        </is>
      </c>
      <c r="D8" t="inlineStr">
        <is>
          <t>Apparent consumption (FAOSTAT Food Balances: Olive Oil)</t>
        </is>
      </c>
      <c r="E8" t="inlineStr">
        <is>
          <t>tonnes</t>
        </is>
      </c>
      <c r="F8" t="inlineStr">
        <is>
          <t>tonnes</t>
        </is>
      </c>
      <c r="G8" t="inlineStr">
        <is>
          <t>driver_value * intensity_value</t>
        </is>
      </c>
      <c r="H8" t="inlineStr">
        <is>
          <t>official_data</t>
        </is>
      </c>
      <c r="I8" t="n">
        <v>38010.292</v>
      </c>
      <c r="J8" s="2" t="inlineStr">
        <is>
          <t>derived</t>
        </is>
      </c>
      <c r="K8" t="inlineStr">
        <is>
          <t>driver=derived, intensity=verified_observed</t>
        </is>
      </c>
      <c r="L8" s="2" t="inlineStr">
        <is>
          <t>derived</t>
        </is>
      </c>
      <c r="M8" t="inlineStr">
        <is>
          <t>FAOSTAT Food Balances</t>
        </is>
      </c>
      <c r="N8" t="inlineStr">
        <is>
          <t>https://www.fao.org/faostat/en/#data/FBS</t>
        </is>
      </c>
      <c r="O8" t="inlineStr">
        <is>
          <t>FAOSTAT Food Balances 'Olive Oil', Domestic supply quantity, Tunisia, 2023: 70,000 t; 2025 = average of the last 3 data years moved at -5.0%/yr (that country's own trend)</t>
        </is>
      </c>
      <c r="P8" t="n">
        <v>2023</v>
      </c>
      <c r="Q8" t="inlineStr">
        <is>
          <t>verified_observed</t>
        </is>
      </c>
      <c r="R8" t="n">
        <v>4500</v>
      </c>
      <c r="S8" s="3" t="inlineStr">
        <is>
          <t>assumption</t>
        </is>
      </c>
      <c r="T8" t="inlineStr"/>
      <c r="U8" t="inlineStr"/>
      <c r="V8" t="inlineStr"/>
      <c r="W8" t="n">
        <v>171.0463</v>
      </c>
      <c r="X8" t="inlineStr"/>
      <c r="Y8" t="inlineStr">
        <is>
          <t>ok</t>
        </is>
      </c>
      <c r="Z8" t="n">
        <v>4500</v>
      </c>
    </row>
    <row r="9">
      <c r="A9" t="inlineStr">
        <is>
          <t>Turkey</t>
        </is>
      </c>
      <c r="B9" t="inlineStr">
        <is>
          <t>Total Olive Oil demand</t>
        </is>
      </c>
      <c r="C9" t="inlineStr">
        <is>
          <t>physical_consumption</t>
        </is>
      </c>
      <c r="D9" t="inlineStr">
        <is>
          <t>Apparent consumption (FAOSTAT Food Balances: Olive Oil)</t>
        </is>
      </c>
      <c r="E9" t="inlineStr">
        <is>
          <t>tonnes</t>
        </is>
      </c>
      <c r="F9" t="inlineStr">
        <is>
          <t>tonnes</t>
        </is>
      </c>
      <c r="G9" t="inlineStr">
        <is>
          <t>driver_value * intensity_value</t>
        </is>
      </c>
      <c r="H9" t="inlineStr">
        <is>
          <t>official_data</t>
        </is>
      </c>
      <c r="I9" t="n">
        <v>186759.201</v>
      </c>
      <c r="J9" s="2" t="inlineStr">
        <is>
          <t>derived</t>
        </is>
      </c>
      <c r="K9" t="inlineStr">
        <is>
          <t>driver=derived, intensity=verified_observed</t>
        </is>
      </c>
      <c r="L9" s="2" t="inlineStr">
        <is>
          <t>derived</t>
        </is>
      </c>
      <c r="M9" t="inlineStr">
        <is>
          <t>FAOSTAT Food Balances</t>
        </is>
      </c>
      <c r="N9" t="inlineStr">
        <is>
          <t>https://www.fao.org/faostat/en/#data/FBS</t>
        </is>
      </c>
      <c r="O9" t="inlineStr">
        <is>
          <t>FAOSTAT Food Balances 'Olive Oil', Domestic supply quantity, Türkiye, 2023: 150,000 t; 2025 = average of the last 3 data years moved at -2.0%/yr (that country's own trend)</t>
        </is>
      </c>
      <c r="P9" t="n">
        <v>2023</v>
      </c>
      <c r="Q9" t="inlineStr">
        <is>
          <t>verified_observed</t>
        </is>
      </c>
      <c r="R9" t="n">
        <v>4500</v>
      </c>
      <c r="S9" s="3" t="inlineStr">
        <is>
          <t>assumption</t>
        </is>
      </c>
      <c r="T9" t="inlineStr"/>
      <c r="U9" t="inlineStr"/>
      <c r="V9" t="inlineStr"/>
      <c r="W9" t="n">
        <v>840.4164</v>
      </c>
      <c r="X9" t="inlineStr"/>
      <c r="Y9" t="inlineStr">
        <is>
          <t>ok</t>
        </is>
      </c>
      <c r="Z9" t="n">
        <v>4500</v>
      </c>
    </row>
    <row r="10">
      <c r="A10" t="inlineStr">
        <is>
          <t>Morocco</t>
        </is>
      </c>
      <c r="B10" t="inlineStr">
        <is>
          <t>Total Olive Oil demand</t>
        </is>
      </c>
      <c r="C10" t="inlineStr">
        <is>
          <t>physical_consumption</t>
        </is>
      </c>
      <c r="D10" t="inlineStr">
        <is>
          <t>Apparent consumption (FAOSTAT Food Balances: Olive Oil)</t>
        </is>
      </c>
      <c r="E10" t="inlineStr">
        <is>
          <t>tonnes</t>
        </is>
      </c>
      <c r="F10" t="inlineStr">
        <is>
          <t>tonnes</t>
        </is>
      </c>
      <c r="G10" t="inlineStr">
        <is>
          <t>driver_value * intensity_value</t>
        </is>
      </c>
      <c r="H10" t="inlineStr">
        <is>
          <t>official_data</t>
        </is>
      </c>
      <c r="I10" t="n">
        <v>181791.328</v>
      </c>
      <c r="J10" s="2" t="inlineStr">
        <is>
          <t>derived</t>
        </is>
      </c>
      <c r="K10" t="inlineStr">
        <is>
          <t>driver=derived, intensity=verified_observed</t>
        </is>
      </c>
      <c r="L10" s="2" t="inlineStr">
        <is>
          <t>derived</t>
        </is>
      </c>
      <c r="M10" t="inlineStr">
        <is>
          <t>FAOSTAT Food Balances</t>
        </is>
      </c>
      <c r="N10" t="inlineStr">
        <is>
          <t>https://www.fao.org/faostat/en/#data/FBS</t>
        </is>
      </c>
      <c r="O10" t="inlineStr">
        <is>
          <t>FAOSTAT Food Balances 'Olive Oil', Domestic supply quantity, Morocco, 2023: 146,000 t; 2025 = average of the last 3 data years moved at +1.7%/yr (that country's own trend)</t>
        </is>
      </c>
      <c r="P10" t="n">
        <v>2023</v>
      </c>
      <c r="Q10" t="inlineStr">
        <is>
          <t>verified_observed</t>
        </is>
      </c>
      <c r="R10" t="n">
        <v>4500</v>
      </c>
      <c r="S10" s="3" t="inlineStr">
        <is>
          <t>assumption</t>
        </is>
      </c>
      <c r="T10" t="inlineStr"/>
      <c r="U10" t="inlineStr"/>
      <c r="V10" t="inlineStr"/>
      <c r="W10" t="n">
        <v>818.061</v>
      </c>
      <c r="X10" t="inlineStr"/>
      <c r="Y10" t="inlineStr">
        <is>
          <t>ok</t>
        </is>
      </c>
      <c r="Z10" t="n">
        <v>4500</v>
      </c>
    </row>
    <row r="11">
      <c r="A11" t="inlineStr">
        <is>
          <t>Portugal</t>
        </is>
      </c>
      <c r="B11" t="inlineStr">
        <is>
          <t>Total Olive Oil demand</t>
        </is>
      </c>
      <c r="C11" t="inlineStr">
        <is>
          <t>physical_consumption</t>
        </is>
      </c>
      <c r="D11" t="inlineStr">
        <is>
          <t>Apparent consumption (FAOSTAT Food Balances: Olive Oil)</t>
        </is>
      </c>
      <c r="E11" t="inlineStr">
        <is>
          <t>tonnes</t>
        </is>
      </c>
      <c r="F11" t="inlineStr">
        <is>
          <t>tonnes</t>
        </is>
      </c>
      <c r="G11" t="inlineStr">
        <is>
          <t>driver_value * intensity_value</t>
        </is>
      </c>
      <c r="H11" t="inlineStr">
        <is>
          <t>official_data</t>
        </is>
      </c>
      <c r="I11" t="n">
        <v>78107.143</v>
      </c>
      <c r="J11" s="2" t="inlineStr">
        <is>
          <t>derived</t>
        </is>
      </c>
      <c r="K11" t="inlineStr">
        <is>
          <t>driver=derived, intensity=verified_observed</t>
        </is>
      </c>
      <c r="L11" s="2" t="inlineStr">
        <is>
          <t>derived</t>
        </is>
      </c>
      <c r="M11" t="inlineStr">
        <is>
          <t>FAOSTAT Food Balances</t>
        </is>
      </c>
      <c r="N11" t="inlineStr">
        <is>
          <t>https://www.fao.org/faostat/en/#data/FBS</t>
        </is>
      </c>
      <c r="O11" t="inlineStr">
        <is>
          <t>FAOSTAT Food Balances 'Olive Oil', Domestic supply quantity, Portugal, 2023: 82,000 t; 2025 = average of the last 3 data years moved at -1.2%/yr (that country's own trend)</t>
        </is>
      </c>
      <c r="P11" t="n">
        <v>2023</v>
      </c>
      <c r="Q11" t="inlineStr">
        <is>
          <t>verified_observed</t>
        </is>
      </c>
      <c r="R11" t="n">
        <v>4500</v>
      </c>
      <c r="S11" s="3" t="inlineStr">
        <is>
          <t>assumption</t>
        </is>
      </c>
      <c r="T11" t="inlineStr"/>
      <c r="U11" t="inlineStr"/>
      <c r="V11" t="inlineStr"/>
      <c r="W11" t="n">
        <v>351.4821</v>
      </c>
      <c r="X11" t="inlineStr"/>
      <c r="Y11" t="inlineStr">
        <is>
          <t>ok</t>
        </is>
      </c>
      <c r="Z11" t="n">
        <v>4500</v>
      </c>
    </row>
    <row r="12">
      <c r="A12" t="inlineStr">
        <is>
          <t>Syria</t>
        </is>
      </c>
      <c r="B12" t="inlineStr">
        <is>
          <t>Total Olive Oil demand</t>
        </is>
      </c>
      <c r="C12" t="inlineStr">
        <is>
          <t>physical_consumption</t>
        </is>
      </c>
      <c r="D12" t="inlineStr">
        <is>
          <t>Apparent consumption (FAOSTAT Food Balances: Olive Oil)</t>
        </is>
      </c>
      <c r="E12" t="inlineStr">
        <is>
          <t>tonnes</t>
        </is>
      </c>
      <c r="F12" t="inlineStr">
        <is>
          <t>tonnes</t>
        </is>
      </c>
      <c r="G12" t="inlineStr">
        <is>
          <t>driver_value * intensity_value</t>
        </is>
      </c>
      <c r="H12" t="inlineStr">
        <is>
          <t>official_data</t>
        </is>
      </c>
      <c r="I12" t="n">
        <v>140844.375</v>
      </c>
      <c r="J12" s="2" t="inlineStr">
        <is>
          <t>derived</t>
        </is>
      </c>
      <c r="K12" t="inlineStr">
        <is>
          <t>driver=derived, intensity=verified_observed</t>
        </is>
      </c>
      <c r="L12" s="2" t="inlineStr">
        <is>
          <t>derived</t>
        </is>
      </c>
      <c r="M12" t="inlineStr">
        <is>
          <t>FAOSTAT Food Balances</t>
        </is>
      </c>
      <c r="N12" t="inlineStr">
        <is>
          <t>https://www.fao.org/faostat/en/#data/FBS</t>
        </is>
      </c>
      <c r="O12" t="inlineStr">
        <is>
          <t>FAOSTAT Food Balances 'Olive Oil', Domestic supply quantity, Syrian Arab Republic, 2023: 99,000 t; 2025 = average of the last 3 data years moved at +5.0%/yr (that country's own trend)</t>
        </is>
      </c>
      <c r="P12" t="n">
        <v>2023</v>
      </c>
      <c r="Q12" t="inlineStr">
        <is>
          <t>verified_observed</t>
        </is>
      </c>
      <c r="R12" t="n">
        <v>4500</v>
      </c>
      <c r="S12" s="3" t="inlineStr">
        <is>
          <t>assumption</t>
        </is>
      </c>
      <c r="T12" t="inlineStr"/>
      <c r="U12" t="inlineStr"/>
      <c r="V12" t="inlineStr"/>
      <c r="W12" t="n">
        <v>633.7997</v>
      </c>
      <c r="X12" t="inlineStr"/>
      <c r="Y12" t="inlineStr">
        <is>
          <t>ok</t>
        </is>
      </c>
      <c r="Z12" t="n">
        <v>4500</v>
      </c>
    </row>
    <row r="13">
      <c r="A13" t="inlineStr">
        <is>
          <t>United States</t>
        </is>
      </c>
      <c r="B13" t="inlineStr">
        <is>
          <t>Total Olive Oil demand</t>
        </is>
      </c>
      <c r="C13" t="inlineStr">
        <is>
          <t>physical_consumption</t>
        </is>
      </c>
      <c r="D13" t="inlineStr">
        <is>
          <t>Apparent consumption (FAOSTAT Food Balances: Olive Oil)</t>
        </is>
      </c>
      <c r="E13" t="inlineStr">
        <is>
          <t>tonnes</t>
        </is>
      </c>
      <c r="F13" t="inlineStr">
        <is>
          <t>tonnes</t>
        </is>
      </c>
      <c r="G13" t="inlineStr">
        <is>
          <t>driver_value * intensity_value</t>
        </is>
      </c>
      <c r="H13" t="inlineStr">
        <is>
          <t>official_data</t>
        </is>
      </c>
      <c r="I13" t="n">
        <v>429298.818</v>
      </c>
      <c r="J13" s="2" t="inlineStr">
        <is>
          <t>derived</t>
        </is>
      </c>
      <c r="K13" t="inlineStr">
        <is>
          <t>driver=derived, intensity=verified_observed</t>
        </is>
      </c>
      <c r="L13" s="2" t="inlineStr">
        <is>
          <t>derived</t>
        </is>
      </c>
      <c r="M13" t="inlineStr">
        <is>
          <t>FAOSTAT Food Balances</t>
        </is>
      </c>
      <c r="N13" t="inlineStr">
        <is>
          <t>https://www.fao.org/faostat/en/#data/FBS</t>
        </is>
      </c>
      <c r="O13" t="inlineStr">
        <is>
          <t>FAOSTAT Food Balances 'Olive Oil', Domestic supply quantity, United States of America, 2023: 370,000 t; 2025 = average of the last 3 data years moved at +3.1%/yr (that country's own trend)</t>
        </is>
      </c>
      <c r="P13" t="n">
        <v>2023</v>
      </c>
      <c r="Q13" t="inlineStr">
        <is>
          <t>verified_observed</t>
        </is>
      </c>
      <c r="R13" t="n">
        <v>4500</v>
      </c>
      <c r="S13" s="3" t="inlineStr">
        <is>
          <t>assumption</t>
        </is>
      </c>
      <c r="T13" t="inlineStr"/>
      <c r="U13" t="inlineStr"/>
      <c r="V13" t="inlineStr"/>
      <c r="W13" t="n">
        <v>1931.8447</v>
      </c>
      <c r="X13" t="inlineStr"/>
      <c r="Y13" t="inlineStr">
        <is>
          <t>ok</t>
        </is>
      </c>
      <c r="Z13" t="n">
        <v>4500</v>
      </c>
    </row>
    <row r="14">
      <c r="A14" t="inlineStr">
        <is>
          <t>France</t>
        </is>
      </c>
      <c r="B14" t="inlineStr">
        <is>
          <t>Total Olive Oil demand</t>
        </is>
      </c>
      <c r="C14" t="inlineStr">
        <is>
          <t>physical_consumption</t>
        </is>
      </c>
      <c r="D14" t="inlineStr">
        <is>
          <t>Apparent consumption (FAOSTAT Food Balances: Olive Oil)</t>
        </is>
      </c>
      <c r="E14" t="inlineStr">
        <is>
          <t>tonnes</t>
        </is>
      </c>
      <c r="F14" t="inlineStr">
        <is>
          <t>tonnes</t>
        </is>
      </c>
      <c r="G14" t="inlineStr">
        <is>
          <t>driver_value * intensity_value</t>
        </is>
      </c>
      <c r="H14" t="inlineStr">
        <is>
          <t>official_data</t>
        </is>
      </c>
      <c r="I14" t="n">
        <v>120376.889</v>
      </c>
      <c r="J14" s="2" t="inlineStr">
        <is>
          <t>derived</t>
        </is>
      </c>
      <c r="K14" t="inlineStr">
        <is>
          <t>driver=derived, intensity=verified_observed</t>
        </is>
      </c>
      <c r="L14" s="2" t="inlineStr">
        <is>
          <t>derived</t>
        </is>
      </c>
      <c r="M14" t="inlineStr">
        <is>
          <t>FAOSTAT Food Balances</t>
        </is>
      </c>
      <c r="N14" t="inlineStr">
        <is>
          <t>https://www.fao.org/faostat/en/#data/FBS</t>
        </is>
      </c>
      <c r="O14" t="inlineStr">
        <is>
          <t>FAOSTAT Food Balances 'Olive Oil', Domestic supply quantity, France, 2023: 105,000 t; 2025 = average of the last 3 data years moved at -0.6%/yr (that country's own trend)</t>
        </is>
      </c>
      <c r="P14" t="n">
        <v>2023</v>
      </c>
      <c r="Q14" t="inlineStr">
        <is>
          <t>verified_observed</t>
        </is>
      </c>
      <c r="R14" t="n">
        <v>4500</v>
      </c>
      <c r="S14" s="3" t="inlineStr">
        <is>
          <t>assumption</t>
        </is>
      </c>
      <c r="T14" t="inlineStr"/>
      <c r="U14" t="inlineStr"/>
      <c r="V14" t="inlineStr"/>
      <c r="W14" t="n">
        <v>541.696</v>
      </c>
      <c r="X14" t="inlineStr"/>
      <c r="Y14" t="inlineStr">
        <is>
          <t>ok</t>
        </is>
      </c>
      <c r="Z14" t="n">
        <v>4500</v>
      </c>
    </row>
    <row r="15">
      <c r="A15" t="inlineStr">
        <is>
          <t>Germany</t>
        </is>
      </c>
      <c r="B15" t="inlineStr">
        <is>
          <t>Total Olive Oil demand</t>
        </is>
      </c>
      <c r="C15" t="inlineStr">
        <is>
          <t>physical_consumption</t>
        </is>
      </c>
      <c r="D15" t="inlineStr">
        <is>
          <t>Apparent consumption (FAOSTAT Food Balances: Olive Oil)</t>
        </is>
      </c>
      <c r="E15" t="inlineStr">
        <is>
          <t>tonnes</t>
        </is>
      </c>
      <c r="F15" t="inlineStr">
        <is>
          <t>tonnes</t>
        </is>
      </c>
      <c r="G15" t="inlineStr">
        <is>
          <t>driver_value * intensity_value</t>
        </is>
      </c>
      <c r="H15" t="inlineStr">
        <is>
          <t>official_data</t>
        </is>
      </c>
      <c r="I15" t="n">
        <v>76492.823</v>
      </c>
      <c r="J15" s="2" t="inlineStr">
        <is>
          <t>derived</t>
        </is>
      </c>
      <c r="K15" t="inlineStr">
        <is>
          <t>driver=derived, intensity=verified_observed</t>
        </is>
      </c>
      <c r="L15" s="2" t="inlineStr">
        <is>
          <t>derived</t>
        </is>
      </c>
      <c r="M15" t="inlineStr">
        <is>
          <t>FAOSTAT Food Balances</t>
        </is>
      </c>
      <c r="N15" t="inlineStr">
        <is>
          <t>https://www.fao.org/faostat/en/#data/FBS</t>
        </is>
      </c>
      <c r="O15" t="inlineStr">
        <is>
          <t>FAOSTAT Food Balances 'Olive Oil', Domestic supply quantity, Germany, 2023: 62,000 t; 2025 = average of the last 3 data years moved at +1.6%/yr (that country's own trend)</t>
        </is>
      </c>
      <c r="P15" t="n">
        <v>2023</v>
      </c>
      <c r="Q15" t="inlineStr">
        <is>
          <t>verified_observed</t>
        </is>
      </c>
      <c r="R15" t="n">
        <v>4500</v>
      </c>
      <c r="S15" s="3" t="inlineStr">
        <is>
          <t>assumption</t>
        </is>
      </c>
      <c r="T15" t="inlineStr"/>
      <c r="U15" t="inlineStr"/>
      <c r="V15" t="inlineStr"/>
      <c r="W15" t="n">
        <v>344.2177</v>
      </c>
      <c r="X15" t="inlineStr"/>
      <c r="Y15" t="inlineStr">
        <is>
          <t>ok</t>
        </is>
      </c>
      <c r="Z15" t="n">
        <v>4500</v>
      </c>
    </row>
    <row r="16">
      <c r="A16" t="inlineStr">
        <is>
          <t>Brazil</t>
        </is>
      </c>
      <c r="B16" t="inlineStr">
        <is>
          <t>Total Olive Oil demand</t>
        </is>
      </c>
      <c r="C16" t="inlineStr">
        <is>
          <t>physical_consumption</t>
        </is>
      </c>
      <c r="D16" t="inlineStr">
        <is>
          <t>Apparent consumption (FAOSTAT Food Balances: Olive Oil)</t>
        </is>
      </c>
      <c r="E16" t="inlineStr">
        <is>
          <t>tonnes</t>
        </is>
      </c>
      <c r="F16" t="inlineStr">
        <is>
          <t>tonnes</t>
        </is>
      </c>
      <c r="G16" t="inlineStr">
        <is>
          <t>driver_value * intensity_value</t>
        </is>
      </c>
      <c r="H16" t="inlineStr">
        <is>
          <t>official_data</t>
        </is>
      </c>
      <c r="I16" t="n">
        <v>99096.774</v>
      </c>
      <c r="J16" s="2" t="inlineStr">
        <is>
          <t>derived</t>
        </is>
      </c>
      <c r="K16" t="inlineStr">
        <is>
          <t>driver=derived, intensity=verified_observed</t>
        </is>
      </c>
      <c r="L16" s="2" t="inlineStr">
        <is>
          <t>derived</t>
        </is>
      </c>
      <c r="M16" t="inlineStr">
        <is>
          <t>FAOSTAT Food Balances</t>
        </is>
      </c>
      <c r="N16" t="inlineStr">
        <is>
          <t>https://www.fao.org/faostat/en/#data/FBS</t>
        </is>
      </c>
      <c r="O16" t="inlineStr">
        <is>
          <t>FAOSTAT Food Balances 'Olive Oil', Domestic supply quantity, Brazil, 2023: 80,000 t; 2025 = average of the last 3 data years moved at +1.1%/yr (that country's own trend)</t>
        </is>
      </c>
      <c r="P16" t="n">
        <v>2023</v>
      </c>
      <c r="Q16" t="inlineStr">
        <is>
          <t>verified_observed</t>
        </is>
      </c>
      <c r="R16" t="n">
        <v>4500</v>
      </c>
      <c r="S16" s="3" t="inlineStr">
        <is>
          <t>assumption</t>
        </is>
      </c>
      <c r="T16" t="inlineStr"/>
      <c r="U16" t="inlineStr"/>
      <c r="V16" t="inlineStr"/>
      <c r="W16" t="n">
        <v>445.9355</v>
      </c>
      <c r="X16" t="inlineStr"/>
      <c r="Y16" t="inlineStr">
        <is>
          <t>ok</t>
        </is>
      </c>
      <c r="Z16" t="n">
        <v>4500</v>
      </c>
    </row>
    <row r="17">
      <c r="A17" t="inlineStr">
        <is>
          <t>Japan</t>
        </is>
      </c>
      <c r="B17" t="inlineStr">
        <is>
          <t>Total Olive Oil demand</t>
        </is>
      </c>
      <c r="C17" t="inlineStr">
        <is>
          <t>physical_consumption</t>
        </is>
      </c>
      <c r="D17" t="inlineStr">
        <is>
          <t>Apparent consumption (FAOSTAT Food Balances: Olive Oil)</t>
        </is>
      </c>
      <c r="E17" t="inlineStr">
        <is>
          <t>tonnes</t>
        </is>
      </c>
      <c r="F17" t="inlineStr">
        <is>
          <t>tonnes</t>
        </is>
      </c>
      <c r="G17" t="inlineStr">
        <is>
          <t>driver_value * intensity_value</t>
        </is>
      </c>
      <c r="H17" t="inlineStr">
        <is>
          <t>official_data</t>
        </is>
      </c>
      <c r="I17" t="n">
        <v>52000</v>
      </c>
      <c r="J17" s="3" t="inlineStr">
        <is>
          <t>assumption</t>
        </is>
      </c>
      <c r="K17" t="inlineStr">
        <is>
          <t>driver=assumption, intensity=verified_observed</t>
        </is>
      </c>
      <c r="L17" s="3" t="inlineStr">
        <is>
          <t>assumption</t>
        </is>
      </c>
      <c r="M17" t="inlineStr">
        <is>
          <t>Food and Agriculture Organization of the United Nations (FAOSTAT)</t>
        </is>
      </c>
      <c r="N17" t="inlineStr">
        <is>
          <t>https://www.fao.org/faostat/en/#data/FBS</t>
        </is>
      </c>
      <c r="O17" t="inlineStr">
        <is>
          <t>FAOSTAT Food Balances, Japan, Olive Oil, 2021</t>
        </is>
      </c>
      <c r="P17" t="n">
        <v>2021</v>
      </c>
      <c r="Q17" t="inlineStr">
        <is>
          <t>verified_observed</t>
        </is>
      </c>
      <c r="R17" t="n">
        <v>4500</v>
      </c>
      <c r="S17" s="3" t="inlineStr">
        <is>
          <t>assumption</t>
        </is>
      </c>
      <c r="T17" t="inlineStr"/>
      <c r="U17" t="inlineStr"/>
      <c r="V17" t="inlineStr"/>
      <c r="W17" t="n">
        <v>234</v>
      </c>
      <c r="X17" t="inlineStr"/>
      <c r="Y17" t="inlineStr">
        <is>
          <t>ok</t>
        </is>
      </c>
      <c r="Z17" t="n">
        <v>4500</v>
      </c>
    </row>
    <row r="18">
      <c r="A18" t="inlineStr">
        <is>
          <t>Rest of World</t>
        </is>
      </c>
      <c r="B18" t="inlineStr">
        <is>
          <t>Total Olive Oil demand</t>
        </is>
      </c>
      <c r="C18" t="inlineStr">
        <is>
          <t>physical_consumption</t>
        </is>
      </c>
      <c r="D18" t="inlineStr">
        <is>
          <t>Apparent consumption (FAOSTAT Food Balances: Olive Oil)</t>
        </is>
      </c>
      <c r="E18" t="inlineStr">
        <is>
          <t>tonnes</t>
        </is>
      </c>
      <c r="F18" t="inlineStr">
        <is>
          <t>tonnes</t>
        </is>
      </c>
      <c r="G18" t="inlineStr">
        <is>
          <t>driver_value * intensity_value</t>
        </is>
      </c>
      <c r="H18" t="inlineStr">
        <is>
          <t>official_data</t>
        </is>
      </c>
      <c r="I18" t="n">
        <v>932978.304</v>
      </c>
      <c r="J18" s="2" t="inlineStr">
        <is>
          <t>derived</t>
        </is>
      </c>
      <c r="K18" t="inlineStr">
        <is>
          <t>driver=derived, intensity=verified_observed</t>
        </is>
      </c>
      <c r="L18" s="2" t="inlineStr">
        <is>
          <t>derived</t>
        </is>
      </c>
      <c r="M18" t="inlineStr">
        <is>
          <t>FAOSTAT Food Balances</t>
        </is>
      </c>
      <c r="N18" t="inlineStr">
        <is>
          <t>https://www.fao.org/faostat/en/#data/FBS</t>
        </is>
      </c>
      <c r="O18" t="inlineStr">
        <is>
          <t>FAOSTAT Food Balances 'Olive Oil', Domestic supply quantity, World minus listed countries, 2023: 3,161,000 t; 2025 = average of the last 3 data years moved at -0.9%/yr (that country's own trend)</t>
        </is>
      </c>
      <c r="P18" t="n">
        <v>2023</v>
      </c>
      <c r="Q18" t="inlineStr">
        <is>
          <t>verified_observed</t>
        </is>
      </c>
      <c r="R18" t="n">
        <v>4500</v>
      </c>
      <c r="S18" s="3" t="inlineStr">
        <is>
          <t>assumption</t>
        </is>
      </c>
      <c r="T18" t="inlineStr"/>
      <c r="U18" t="inlineStr"/>
      <c r="V18" t="inlineStr"/>
      <c r="W18" t="n">
        <v>4198.4024</v>
      </c>
      <c r="X18" t="inlineStr"/>
      <c r="Y18" t="inlineStr">
        <is>
          <t>ok</t>
        </is>
      </c>
      <c r="Z18" t="n">
        <v>4500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Olive Oil</t>
        </is>
      </c>
    </row>
    <row r="2">
      <c r="A2" s="1" t="inlineStr">
        <is>
          <t>Scope</t>
        </is>
      </c>
      <c r="B2" t="inlineStr">
        <is>
          <t>This market covers virgin and refined olive oil (including extra-virgin, virgin, and blended/refined olive oil) destined for edible and cosmetic-grade use, valued at the point of first sale into consumption or export. It excludes table olives, olive pomace oil, olive-leaf extracts, and non-olive vegetable/seed oils, which are separately valued commodities. Olive oil used as an input to downstream products (e.g. canned fish, cosmetics, prepared foods) remains in scope only to the extent of the olive oil itself; the downstream finished product is never priced here, though its production volume is legitimate intermediate evidence for deriving the olive oil it requires. Production-side inputs such as olive groves, harvesting labour, and milling services are out of scope.</t>
        </is>
      </c>
    </row>
    <row r="3">
      <c r="A3" s="1" t="inlineStr">
        <is>
          <t>Geography</t>
        </is>
      </c>
      <c r="B3" t="inlineStr">
        <is>
          <t>Spain, Italy, Greece, Tunisia, Turkey, Morocco, Portugal, Syria, United States, France, Germany, Brazil, Japan, Rest of World</t>
        </is>
      </c>
    </row>
    <row r="4">
      <c r="A4" s="1" t="inlineStr">
        <is>
          <t>Base Year</t>
        </is>
      </c>
      <c r="B4" t="n">
        <v>2025</v>
      </c>
    </row>
    <row r="5">
      <c r="A5" s="1" t="inlineStr">
        <is>
          <t>Market Unit</t>
        </is>
      </c>
      <c r="B5" t="inlineStr">
        <is>
          <t>USD Bn</t>
        </is>
      </c>
    </row>
    <row r="6">
      <c r="A6" s="1" t="inlineStr">
        <is>
          <t>Physical Unit</t>
        </is>
      </c>
      <c r="B6" t="inlineStr">
        <is>
          <t>Tonnes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(no scope validation flags recorded)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(none -- no evidence-supported coverage gaps were found; NOT proof of full coverage)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Total Olive Oil demand</t>
        </is>
      </c>
      <c r="C2" t="inlineStr">
        <is>
          <t>Japan</t>
        </is>
      </c>
      <c r="D2" t="n">
        <v>1</v>
      </c>
      <c r="E2" t="inlineStr">
        <is>
          <t>FAOSTAT (Food and Agriculture Organization of the United Nations)</t>
        </is>
      </c>
      <c r="F2" t="inlineStr">
        <is>
          <t>api</t>
        </is>
      </c>
      <c r="G2" t="inlineStr"/>
      <c r="H2" t="n">
        <v>0</v>
      </c>
      <c r="I2" s="3" t="inlineStr">
        <is>
          <t>no</t>
        </is>
      </c>
      <c r="J2" t="inlineStr">
        <is>
          <t>https://fenixservices.fao.org/faostat/api/v1/en/data/FBS</t>
        </is>
      </c>
      <c r="K2" t="inlineStr"/>
      <c r="L2" t="inlineStr"/>
      <c r="M2" t="inlineStr"/>
      <c r="N2" t="inlineStr"/>
      <c r="O2" t="inlineStr"/>
      <c r="P2" t="inlineStr"/>
      <c r="Q2" t="inlineStr">
        <is>
          <t>network_error</t>
        </is>
      </c>
    </row>
    <row r="3">
      <c r="A3" t="inlineStr">
        <is>
          <t>Driver</t>
        </is>
      </c>
      <c r="B3" t="inlineStr">
        <is>
          <t>Total Olive Oil demand</t>
        </is>
      </c>
      <c r="C3" t="inlineStr">
        <is>
          <t>Japan</t>
        </is>
      </c>
      <c r="D3" t="n">
        <v>2</v>
      </c>
      <c r="E3" t="inlineStr">
        <is>
          <t>International Olive Council (IOC)</t>
        </is>
      </c>
      <c r="F3" t="inlineStr">
        <is>
          <t>pdf</t>
        </is>
      </c>
      <c r="G3" t="inlineStr"/>
      <c r="H3" t="n">
        <v>0</v>
      </c>
      <c r="I3" s="3" t="inlineStr">
        <is>
          <t>no</t>
        </is>
      </c>
      <c r="J3" t="inlineStr">
        <is>
          <t>https://www.internationaloliveoil.org/wp-content/uploads/2023/12/118-OT-2023.pdf</t>
        </is>
      </c>
      <c r="K3" t="inlineStr"/>
      <c r="L3" t="inlineStr"/>
      <c r="M3" t="inlineStr"/>
      <c r="N3" t="inlineStr"/>
      <c r="O3" t="inlineStr"/>
      <c r="P3" t="inlineStr"/>
      <c r="Q3" t="inlineStr">
        <is>
          <t>extraction_failed</t>
        </is>
      </c>
    </row>
    <row r="4">
      <c r="A4" t="inlineStr">
        <is>
          <t>Driver</t>
        </is>
      </c>
      <c r="B4" t="inlineStr">
        <is>
          <t>Total Olive Oil demand</t>
        </is>
      </c>
      <c r="C4" t="inlineStr">
        <is>
          <t>Japan</t>
        </is>
      </c>
      <c r="D4" t="n">
        <v>3</v>
      </c>
      <c r="E4" t="inlineStr">
        <is>
          <t>United States Department of Agriculture Foreign Agricultural Service (USDA FAS)</t>
        </is>
      </c>
      <c r="F4" t="inlineStr">
        <is>
          <t>pdf</t>
        </is>
      </c>
      <c r="G4" t="inlineStr"/>
      <c r="H4" t="n">
        <v>0</v>
      </c>
      <c r="I4" s="3" t="inlineStr">
        <is>
          <t>no</t>
        </is>
      </c>
      <c r="J4" t="inlineStr">
        <is>
          <t>https://apps.fas.usda.gov/psdonline/circulars/oilseeds.pdf</t>
        </is>
      </c>
      <c r="K4" t="inlineStr"/>
      <c r="L4" t="inlineStr"/>
      <c r="M4" t="inlineStr"/>
      <c r="N4" t="inlineStr"/>
      <c r="O4" t="inlineStr"/>
      <c r="P4" t="inlineStr"/>
      <c r="Q4" t="inlineStr">
        <is>
          <t>extraction_failed</t>
        </is>
      </c>
    </row>
    <row r="5">
      <c r="A5" t="inlineStr">
        <is>
          <t>Driver</t>
        </is>
      </c>
      <c r="B5" t="inlineStr">
        <is>
          <t>Total Olive Oil demand</t>
        </is>
      </c>
      <c r="C5" t="inlineStr">
        <is>
          <t>Japan</t>
        </is>
      </c>
      <c r="D5" t="n">
        <v>4</v>
      </c>
      <c r="E5" t="inlineStr">
        <is>
          <t>Eurostat</t>
        </is>
      </c>
      <c r="F5" t="inlineStr">
        <is>
          <t>csv_excel</t>
        </is>
      </c>
      <c r="G5" t="inlineStr"/>
      <c r="H5" t="n">
        <v>0</v>
      </c>
      <c r="I5" s="3" t="inlineStr">
        <is>
          <t>no</t>
        </is>
      </c>
      <c r="J5" t="inlineStr">
        <is>
          <t>https://www.freeconvert.com/csv-to-xlsx</t>
        </is>
      </c>
      <c r="K5" t="inlineStr"/>
      <c r="L5" t="inlineStr"/>
      <c r="M5" t="inlineStr"/>
      <c r="N5" t="inlineStr"/>
      <c r="O5" t="inlineStr"/>
      <c r="P5" t="inlineStr"/>
      <c r="Q5" t="inlineStr">
        <is>
          <t>html_landing_page_not_asset</t>
        </is>
      </c>
    </row>
    <row r="6">
      <c r="A6" t="inlineStr">
        <is>
          <t>Driver</t>
        </is>
      </c>
      <c r="B6" t="inlineStr">
        <is>
          <t>Total Olive Oil demand</t>
        </is>
      </c>
      <c r="C6" t="inlineStr">
        <is>
          <t>Japan</t>
        </is>
      </c>
      <c r="D6" t="n">
        <v>5</v>
      </c>
      <c r="E6" t="inlineStr">
        <is>
          <t>Food and Agriculture Organization of the United Nations (FAOSTAT)</t>
        </is>
      </c>
      <c r="F6" t="inlineStr">
        <is>
          <t>llm_claim</t>
        </is>
      </c>
      <c r="G6" t="inlineStr"/>
      <c r="H6" t="n">
        <v>0</v>
      </c>
      <c r="I6" s="4" t="inlineStr">
        <is>
          <t>YES</t>
        </is>
      </c>
      <c r="J6" t="inlineStr">
        <is>
          <t>https://www.fao.org/faostat/en/#data/FBS</t>
        </is>
      </c>
      <c r="K6" t="inlineStr"/>
      <c r="L6" t="n">
        <v>52000</v>
      </c>
      <c r="M6" t="inlineStr">
        <is>
          <t>tonnes</t>
        </is>
      </c>
      <c r="N6" t="n">
        <v>2021</v>
      </c>
      <c r="O6" t="inlineStr">
        <is>
          <t>FAOSTAT Food Balances, Japan, Olive Oil, 2021</t>
        </is>
      </c>
      <c r="P6" s="3" t="inlineStr">
        <is>
          <t>assumption</t>
        </is>
      </c>
      <c r="Q6" t="inlineStr"/>
    </row>
    <row r="7">
      <c r="A7" t="inlineStr">
        <is>
          <t>Price</t>
        </is>
      </c>
      <c r="B7" t="inlineStr">
        <is>
          <t>Total Olive Oil demand</t>
        </is>
      </c>
      <c r="C7" t="inlineStr">
        <is>
          <t>global</t>
        </is>
      </c>
      <c r="D7" t="n">
        <v>1</v>
      </c>
      <c r="E7" t="inlineStr">
        <is>
          <t>Evidence Strategy source</t>
        </is>
      </c>
      <c r="F7" t="inlineStr">
        <is>
          <t>web_page</t>
        </is>
      </c>
      <c r="G7" t="inlineStr">
        <is>
          <t>global tonne spot price benchmark</t>
        </is>
      </c>
      <c r="H7" t="n">
        <v>5</v>
      </c>
      <c r="I7" s="3" t="inlineStr">
        <is>
          <t>no</t>
        </is>
      </c>
      <c r="J7" t="inlineStr"/>
      <c r="K7" t="inlineStr"/>
      <c r="L7" t="inlineStr"/>
      <c r="M7" t="inlineStr"/>
      <c r="N7" t="inlineStr"/>
      <c r="O7" t="inlineStr"/>
      <c r="P7" t="inlineStr"/>
      <c r="Q7" t="inlineStr">
        <is>
          <t>extraction_failed</t>
        </is>
      </c>
    </row>
    <row r="8">
      <c r="A8" t="inlineStr">
        <is>
          <t>Price</t>
        </is>
      </c>
      <c r="B8" t="inlineStr">
        <is>
          <t>Total Olive Oil demand</t>
        </is>
      </c>
      <c r="C8" t="inlineStr">
        <is>
          <t>global</t>
        </is>
      </c>
      <c r="D8" t="n">
        <v>2</v>
      </c>
      <c r="E8" t="inlineStr">
        <is>
          <t>International Olive Council (IOC)</t>
        </is>
      </c>
      <c r="F8" t="inlineStr">
        <is>
          <t>pdf</t>
        </is>
      </c>
      <c r="G8" t="inlineStr"/>
      <c r="H8" t="n">
        <v>0</v>
      </c>
      <c r="I8" s="3" t="inlineStr">
        <is>
          <t>no</t>
        </is>
      </c>
      <c r="J8" t="inlineStr">
        <is>
          <t>https://www.internationaloliveoil.org/wp-content/uploads/2025/01/IOC-prices-rev-0-1.html</t>
        </is>
      </c>
      <c r="K8" t="inlineStr"/>
      <c r="L8" t="inlineStr"/>
      <c r="M8" t="inlineStr"/>
      <c r="N8" t="inlineStr"/>
      <c r="O8" t="inlineStr"/>
      <c r="P8" t="inlineStr"/>
      <c r="Q8" t="inlineStr">
        <is>
          <t>html_landing_page_not_asset</t>
        </is>
      </c>
    </row>
    <row r="9">
      <c r="A9" t="inlineStr">
        <is>
          <t>Price</t>
        </is>
      </c>
      <c r="B9" t="inlineStr">
        <is>
          <t>Total Olive Oil demand</t>
        </is>
      </c>
      <c r="C9" t="inlineStr">
        <is>
          <t>global</t>
        </is>
      </c>
      <c r="D9" t="n">
        <v>3</v>
      </c>
      <c r="E9" t="inlineStr">
        <is>
          <t>Food and Agriculture Organization of the United Nations (FAOSTAT)</t>
        </is>
      </c>
      <c r="F9" t="inlineStr">
        <is>
          <t>api</t>
        </is>
      </c>
      <c r="G9" t="inlineStr"/>
      <c r="H9" t="n">
        <v>0</v>
      </c>
      <c r="I9" s="3" t="inlineStr">
        <is>
          <t>no</t>
        </is>
      </c>
      <c r="J9" t="inlineStr">
        <is>
          <t>https://fenixservices.fao.org/faostat/api/v1/en/data/PP</t>
        </is>
      </c>
      <c r="K9" t="inlineStr"/>
      <c r="L9" t="inlineStr"/>
      <c r="M9" t="inlineStr"/>
      <c r="N9" t="inlineStr"/>
      <c r="O9" t="inlineStr"/>
      <c r="P9" t="inlineStr"/>
      <c r="Q9" t="inlineStr">
        <is>
          <t>network_error</t>
        </is>
      </c>
    </row>
    <row r="10">
      <c r="A10" t="inlineStr">
        <is>
          <t>Price</t>
        </is>
      </c>
      <c r="B10" t="inlineStr">
        <is>
          <t>Total Olive Oil demand</t>
        </is>
      </c>
      <c r="C10" t="inlineStr">
        <is>
          <t>global</t>
        </is>
      </c>
      <c r="D10" t="n">
        <v>4</v>
      </c>
      <c r="E10" t="inlineStr">
        <is>
          <t>United Nations Comtrade Database</t>
        </is>
      </c>
      <c r="F10" t="inlineStr">
        <is>
          <t>api</t>
        </is>
      </c>
      <c r="G10" t="inlineStr"/>
      <c r="H10" t="n">
        <v>0</v>
      </c>
      <c r="I10" s="3" t="inlineStr">
        <is>
          <t>no</t>
        </is>
      </c>
      <c r="J10" t="inlineStr">
        <is>
          <t>https://comtradeapi.un.org/public/v1/preview/C/A/HS</t>
        </is>
      </c>
      <c r="K10" t="inlineStr"/>
      <c r="L10" t="inlineStr"/>
      <c r="M10" t="inlineStr"/>
      <c r="N10" t="inlineStr"/>
      <c r="O10" t="inlineStr"/>
      <c r="P10" t="inlineStr"/>
      <c r="Q10" t="inlineStr">
        <is>
          <t>no_data_for_query</t>
        </is>
      </c>
    </row>
    <row r="11">
      <c r="A11" t="inlineStr">
        <is>
          <t>Price</t>
        </is>
      </c>
      <c r="B11" t="inlineStr">
        <is>
          <t>Total Olive Oil demand</t>
        </is>
      </c>
      <c r="C11" t="inlineStr">
        <is>
          <t>global</t>
        </is>
      </c>
      <c r="D11" t="n">
        <v>5</v>
      </c>
      <c r="E11" t="inlineStr">
        <is>
          <t>LLM best-effort claim(s)</t>
        </is>
      </c>
      <c r="F11" t="inlineStr">
        <is>
          <t>llm_claim</t>
        </is>
      </c>
      <c r="G11" t="inlineStr"/>
      <c r="H11" t="n">
        <v>0</v>
      </c>
      <c r="I11" s="3" t="inlineStr">
        <is>
          <t>no</t>
        </is>
      </c>
      <c r="J11" t="inlineStr"/>
      <c r="K11" t="inlineStr"/>
      <c r="L11" t="inlineStr"/>
      <c r="M11" t="inlineStr"/>
      <c r="N11" t="inlineStr"/>
      <c r="O11" t="inlineStr"/>
      <c r="P11" t="inlineStr"/>
      <c r="Q11" t="inlineStr">
        <is>
          <t>no_specific_claim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10</v>
      </c>
    </row>
    <row r="3">
      <c r="A3" t="inlineStr">
        <is>
          <t>api: attempts / found</t>
        </is>
      </c>
      <c r="B3" t="inlineStr">
        <is>
          <t>3 / 0</t>
        </is>
      </c>
    </row>
    <row r="4">
      <c r="A4" t="inlineStr">
        <is>
          <t>csv_excel: attempts / found</t>
        </is>
      </c>
      <c r="B4" t="inlineStr">
        <is>
          <t>1 / 0</t>
        </is>
      </c>
    </row>
    <row r="5">
      <c r="A5" t="inlineStr">
        <is>
          <t>llm_claim: attempts / found</t>
        </is>
      </c>
      <c r="B5" t="inlineStr">
        <is>
          <t>2 / 1</t>
        </is>
      </c>
    </row>
    <row r="6">
      <c r="A6" t="inlineStr">
        <is>
          <t>pdf: attempts / found</t>
        </is>
      </c>
      <c r="B6" t="inlineStr">
        <is>
          <t>3 / 0</t>
        </is>
      </c>
    </row>
    <row r="7">
      <c r="A7" t="inlineStr">
        <is>
          <t>web_page: attempts / found</t>
        </is>
      </c>
      <c r="B7" t="inlineStr">
        <is>
          <t>1 / 0</t>
        </is>
      </c>
    </row>
    <row r="9">
      <c r="A9" s="1" t="inlineStr">
        <is>
          <t>Rejection reasons (misses only)</t>
        </is>
      </c>
    </row>
    <row r="10">
      <c r="A10" t="inlineStr">
        <is>
          <t>extraction_failed</t>
        </is>
      </c>
      <c r="B10" t="n">
        <v>3</v>
      </c>
    </row>
    <row r="11">
      <c r="A11" t="inlineStr">
        <is>
          <t>network_error</t>
        </is>
      </c>
      <c r="B11" t="n">
        <v>2</v>
      </c>
    </row>
    <row r="12">
      <c r="A12" t="inlineStr">
        <is>
          <t>html_landing_page_not_asset</t>
        </is>
      </c>
      <c r="B12" t="n">
        <v>2</v>
      </c>
    </row>
    <row r="13">
      <c r="A13" t="inlineStr">
        <is>
          <t>no_data_for_query</t>
        </is>
      </c>
      <c r="B13" t="n">
        <v>1</v>
      </c>
    </row>
    <row r="14">
      <c r="A14" t="inlineStr">
        <is>
          <t>no_specific_claim</t>
        </is>
      </c>
      <c r="B14"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(none -- no bucket's driver total diverged 3x+ from an independent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(no independent benchmark evidence found -- informational sheet only, never used to adjust the bottom-up 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(none -- no driver/intensity/derived-quantity/price magnitude, country-vs-parent, usage-vs-parent-category, or year/period check was flagged this run)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Total Olive Oil demand</t>
        </is>
      </c>
      <c r="B2" t="inlineStr">
        <is>
          <t>(no explicit strategy recorded)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Total Olive Oil demand</t>
        </is>
      </c>
      <c r="B2" t="inlineStr">
        <is>
          <t>tonnes</t>
        </is>
      </c>
      <c r="C2" t="inlineStr">
        <is>
          <t>tonne</t>
        </is>
      </c>
      <c r="D2" t="inlineStr">
        <is>
          <t>YES</t>
        </is>
      </c>
      <c r="E2" t="inlineStr"/>
      <c r="F2" t="inlineStr"/>
      <c r="G2" t="inlineStr"/>
      <c r="H2" t="inlineStr"/>
      <c r="I2" t="inlineStr">
        <is>
          <t>Olive oil is a bulk agricultural commodity traded and priced in metric tonnes (e.g., extra virgin olive oil in USD per tonne), so the finished-demand unit of tonnes is itself the directly priced sellable unit with no conversion needed.</t>
        </is>
      </c>
      <c r="J2" t="inlineStr"/>
      <c r="K2" t="n">
        <v>4500</v>
      </c>
      <c r="L2" t="inlineStr">
        <is>
          <t>USD per tonnes</t>
        </is>
      </c>
      <c r="M2" s="3" t="inlineStr">
        <is>
          <t>assumption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Total Olive Oil demand</t>
        </is>
      </c>
      <c r="B2" s="4" t="inlineStr">
        <is>
          <t>ok</t>
        </is>
      </c>
      <c r="C2" t="inlineStr">
        <is>
          <t>tonnes</t>
        </is>
      </c>
      <c r="D2" t="n">
        <v>1</v>
      </c>
      <c r="E2" t="inlineStr">
        <is>
          <t>tonnes</t>
        </is>
      </c>
      <c r="G2" t="n">
        <v>4500</v>
      </c>
      <c r="H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15556.4312</v>
      </c>
    </row>
    <row r="3">
      <c r="A3" t="inlineStr">
        <is>
          <t>+ Residual / Uncovered (implied by coverage gap -- NOT evidence-built, NOT in any bucket)</t>
        </is>
      </c>
    </row>
    <row r="4">
      <c r="A4" t="inlineStr">
        <is>
          <t>+ Related Demand (inventory/reserve, reported separately)</t>
        </is>
      </c>
      <c r="B4" t="n">
        <v>0</v>
      </c>
    </row>
    <row r="5">
      <c r="A5" s="1">
        <f> Reported Market View</f>
        <v/>
      </c>
      <c r="B5" s="1" t="n">
        <v>15556.4312</v>
      </c>
    </row>
    <row r="6">
      <c r="A6" t="inlineStr">
        <is>
          <t>Estimated Coverage % (bounded pipeline estimate -- NOT verified market knowledge)</t>
        </is>
      </c>
      <c r="B6" t="inlineStr">
        <is>
          <t>n/a</t>
        </is>
      </c>
    </row>
    <row r="7">
      <c r="A7" t="inlineStr">
        <is>
          <t>Coverage threshold (configurable)</t>
        </is>
      </c>
      <c r="B7" t="inlineStr">
        <is>
          <t>85%</t>
        </is>
      </c>
    </row>
    <row r="9">
      <c r="A9" s="1" t="inlineStr">
        <is>
          <t>Evidence Quality</t>
        </is>
      </c>
    </row>
    <row r="10">
      <c r="A10" t="inlineStr">
        <is>
          <t>Verified observed inputs</t>
        </is>
      </c>
      <c r="B10" t="inlineStr">
        <is>
          <t>0.0%</t>
        </is>
      </c>
    </row>
    <row r="11">
      <c r="A11" t="inlineStr">
        <is>
          <t>Derived inputs</t>
        </is>
      </c>
      <c r="B11" t="inlineStr">
        <is>
          <t>86.7%</t>
        </is>
      </c>
    </row>
    <row r="12">
      <c r="A12" t="inlineStr">
        <is>
          <t>Source found, unverified inputs</t>
        </is>
      </c>
      <c r="B12" t="inlineStr">
        <is>
          <t>0.0%</t>
        </is>
      </c>
    </row>
    <row r="13">
      <c r="A13" t="inlineStr">
        <is>
          <t>Assumption inputs</t>
        </is>
      </c>
      <c r="B13" t="inlineStr">
        <is>
          <t>13.3%</t>
        </is>
      </c>
    </row>
    <row r="15">
      <c r="A15" s="1" t="inlineStr">
        <is>
          <t>Country</t>
        </is>
      </c>
      <c r="B15" s="1" t="inlineStr">
        <is>
          <t>Included Demand (US$ Mn)</t>
        </is>
      </c>
      <c r="C15" s="1" t="inlineStr">
        <is>
          <t>Related Demand (US$ Mn)</t>
        </is>
      </c>
    </row>
    <row r="16">
      <c r="A16" t="inlineStr">
        <is>
          <t>Spain</t>
        </is>
      </c>
      <c r="B16" t="n">
        <v>2161.814</v>
      </c>
      <c r="C16" t="n">
        <v>0</v>
      </c>
    </row>
    <row r="17">
      <c r="A17" t="inlineStr">
        <is>
          <t>Italy</t>
        </is>
      </c>
      <c r="B17" t="n">
        <v>2472.1754</v>
      </c>
      <c r="C17" t="n">
        <v>0</v>
      </c>
    </row>
    <row r="18">
      <c r="A18" t="inlineStr">
        <is>
          <t>Greece</t>
        </is>
      </c>
      <c r="B18" t="n">
        <v>411.54</v>
      </c>
      <c r="C18" t="n">
        <v>0</v>
      </c>
    </row>
    <row r="19">
      <c r="A19" t="inlineStr">
        <is>
          <t>Tunisia</t>
        </is>
      </c>
      <c r="B19" t="n">
        <v>171.0463</v>
      </c>
      <c r="C19" t="n">
        <v>0</v>
      </c>
    </row>
    <row r="20">
      <c r="A20" t="inlineStr">
        <is>
          <t>Turkey</t>
        </is>
      </c>
      <c r="B20" t="n">
        <v>840.4164</v>
      </c>
      <c r="C20" t="n">
        <v>0</v>
      </c>
    </row>
    <row r="21">
      <c r="A21" t="inlineStr">
        <is>
          <t>Morocco</t>
        </is>
      </c>
      <c r="B21" t="n">
        <v>818.061</v>
      </c>
      <c r="C21" t="n">
        <v>0</v>
      </c>
    </row>
    <row r="22">
      <c r="A22" t="inlineStr">
        <is>
          <t>Portugal</t>
        </is>
      </c>
      <c r="B22" t="n">
        <v>351.4821</v>
      </c>
      <c r="C22" t="n">
        <v>0</v>
      </c>
    </row>
    <row r="23">
      <c r="A23" t="inlineStr">
        <is>
          <t>Syria</t>
        </is>
      </c>
      <c r="B23" t="n">
        <v>633.7997</v>
      </c>
      <c r="C23" t="n">
        <v>0</v>
      </c>
    </row>
    <row r="24">
      <c r="A24" t="inlineStr">
        <is>
          <t>United States</t>
        </is>
      </c>
      <c r="B24" t="n">
        <v>1931.8447</v>
      </c>
      <c r="C24" t="n">
        <v>0</v>
      </c>
    </row>
    <row r="25">
      <c r="A25" t="inlineStr">
        <is>
          <t>France</t>
        </is>
      </c>
      <c r="B25" t="n">
        <v>541.696</v>
      </c>
      <c r="C25" t="n">
        <v>0</v>
      </c>
    </row>
    <row r="26">
      <c r="A26" t="inlineStr">
        <is>
          <t>Germany</t>
        </is>
      </c>
      <c r="B26" t="n">
        <v>344.2177</v>
      </c>
      <c r="C26" t="n">
        <v>0</v>
      </c>
    </row>
    <row r="27">
      <c r="A27" t="inlineStr">
        <is>
          <t>Brazil</t>
        </is>
      </c>
      <c r="B27" t="n">
        <v>445.9355</v>
      </c>
      <c r="C27" t="n">
        <v>0</v>
      </c>
    </row>
    <row r="28">
      <c r="A28" t="inlineStr">
        <is>
          <t>Japan</t>
        </is>
      </c>
      <c r="B28" t="n">
        <v>234</v>
      </c>
      <c r="C28" t="n">
        <v>0</v>
      </c>
    </row>
    <row r="29">
      <c r="A29" t="inlineStr">
        <is>
          <t>Rest of World</t>
        </is>
      </c>
      <c r="B29" t="n">
        <v>4198.4024</v>
      </c>
      <c r="C29" t="n">
        <v>0</v>
      </c>
    </row>
    <row r="31">
      <c r="A31" s="1" t="inlineStr">
        <is>
          <t>Global Total</t>
        </is>
      </c>
      <c r="B31" t="n">
        <v>15556.4312</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1.0</t>
        </is>
      </c>
    </row>
    <row r="3">
      <c r="A3" t="inlineStr">
        <is>
          <t>plausibility_score</t>
        </is>
      </c>
      <c r="B3" t="inlineStr">
        <is>
          <t>0.61</t>
        </is>
      </c>
    </row>
    <row r="4">
      <c r="A4" t="inlineStr">
        <is>
          <t>arithmetic_ok</t>
        </is>
      </c>
      <c r="B4" t="inlineStr">
        <is>
          <t>True</t>
        </is>
      </c>
    </row>
    <row r="5">
      <c r="A5" t="inlineStr">
        <is>
          <t>coverage_pct</t>
        </is>
      </c>
      <c r="B5" t="inlineStr">
        <is>
          <t>None</t>
        </is>
      </c>
    </row>
    <row r="6">
      <c r="A6" t="inlineStr">
        <is>
          <t>coverage_threshold_pct</t>
        </is>
      </c>
      <c r="B6" t="inlineStr">
        <is>
          <t>85.0</t>
        </is>
      </c>
    </row>
    <row r="7">
      <c r="A7" t="inlineStr">
        <is>
          <t>included_demand_usd_mn</t>
        </is>
      </c>
      <c r="B7" t="inlineStr">
        <is>
          <t>15556.4312</t>
        </is>
      </c>
    </row>
    <row r="8">
      <c r="A8" t="inlineStr">
        <is>
          <t>related_demand_value_usd_mn</t>
        </is>
      </c>
      <c r="B8" t="inlineStr">
        <is>
          <t>0.0</t>
        </is>
      </c>
    </row>
    <row r="9">
      <c r="A9" t="inlineStr">
        <is>
          <t>residual_implied_usd_mn</t>
        </is>
      </c>
      <c r="B9" t="inlineStr">
        <is>
          <t>None</t>
        </is>
      </c>
    </row>
    <row r="10">
      <c r="A10" t="inlineStr">
        <is>
          <t>reported_market_view_usd_mn</t>
        </is>
      </c>
      <c r="B10" t="inlineStr">
        <is>
          <t>15556.4312</t>
        </is>
      </c>
    </row>
    <row r="11">
      <c r="A11" t="inlineStr">
        <is>
          <t>desk_research_reference_value</t>
        </is>
      </c>
      <c r="B11" t="inlineStr">
        <is>
          <t>None</t>
        </is>
      </c>
    </row>
    <row r="12">
      <c r="A12" t="inlineStr">
        <is>
          <t>reference_delta_pct</t>
        </is>
      </c>
      <c r="B12" t="inlineStr">
        <is>
          <t>None</t>
        </is>
      </c>
    </row>
    <row r="14">
      <c r="A14" s="1" t="inlineStr">
        <is>
          <t>Overlap flags</t>
        </is>
      </c>
    </row>
    <row r="15">
      <c r="A15" s="1" t="inlineStr">
        <is>
          <t>Missing category flags</t>
        </is>
      </c>
    </row>
    <row r="16">
      <c r="A16" s="1" t="inlineStr">
        <is>
          <t>Dominant-bucket (unit mismatch risk) flags</t>
        </is>
      </c>
    </row>
    <row r="17">
      <c r="A17" s="1" t="inlineStr">
        <is>
          <t>Country-cell outlier flags</t>
        </is>
      </c>
    </row>
    <row r="18">
      <c r="A18" s="1" t="inlineStr">
        <is>
          <t>Intensity-fraction-clamped buckets</t>
        </is>
      </c>
    </row>
    <row r="19">
      <c r="A19" s="1" t="inlineStr">
        <is>
          <t>Unit contract violations (excluded from calculation)</t>
        </is>
      </c>
    </row>
    <row r="20">
      <c r="A20" s="1" t="inlineStr">
        <is>
          <t>LLM CALL FAILURES (infrastructure, not genuine estimates)</t>
        </is>
      </c>
    </row>
    <row r="21">
      <c r="A21" s="1" t="inlineStr">
        <is>
          <t>Price plausibility flags</t>
        </is>
      </c>
    </row>
    <row r="22">
      <c r="A22" s="1" t="inlineStr">
        <is>
          <t>Unit mismatch flags</t>
        </is>
      </c>
    </row>
    <row r="23">
      <c r="A23" s="1" t="inlineStr">
        <is>
          <t>Stale evidence source flags</t>
        </is>
      </c>
    </row>
    <row r="24">
      <c r="B24" t="inlineStr">
        <is>
          <t>'Total Olive Oil demand'@Japan: driver evidence dated 2021</t>
        </is>
      </c>
    </row>
    <row r="25">
      <c r="A25" s="1" t="inlineStr">
        <is>
          <t>Driver magnitude implausible flags</t>
        </is>
      </c>
    </row>
    <row r="26">
      <c r="A26" s="1" t="inlineStr">
        <is>
          <t>Triangulation large-gap flags (informational)</t>
        </is>
      </c>
    </row>
    <row r="27">
      <c r="A27" s="1" t="inlineStr">
        <is>
          <t>Magnitude cross-validation discrepancy flags</t>
        </is>
      </c>
    </row>
    <row r="28">
      <c r="A28" s="1" t="inlineStr">
        <is>
          <t>Other problems</t>
        </is>
      </c>
    </row>
    <row r="29">
      <c r="B29" t="inlineStr">
        <is>
          <t>1 driver evidence source(s) predate 2022</t>
        </is>
      </c>
    </row>
    <row r="30">
      <c r="B30" t="inlineStr">
        <is>
          <t>Only one usage bucket ('Total Olive Oil demand') is provided, so no double-counting can occur within the bucket structure itself; however, the bucket is so broad that it may implicitly include overlapping demand categories (e.g., retail consumption, food service, industrial use) without clear separation, which could mask double-counting if the underlying data were disaggregated.</t>
        </is>
      </c>
    </row>
    <row r="31">
      <c r="B31" t="inlineStr">
        <is>
          <t>Country totals appear to be derived from a single top-down or bottom-up estimate rather than distinct usage buckets, so the construction does not demonstrate independent demand segments; this raises the risk that the same demand is counted once but attributed inconsistently across countries (e.g., re-exports or intra-EU trade flows could inflate both producing and consuming countries).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2026-10-07T14:20:08Z</dcterms:created>
  <dcterms:modified xmlns:dcterms="http://purl.org/dc/terms/" xmlns:xsi="http://www.w3.org/2001/XMLSchema-instance" xsi:type="dcterms:W3CDTF">2026-10-07T14:20:08Z</dcterms:modified>
</cp:coreProperties>
</file>