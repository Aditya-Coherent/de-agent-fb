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ild-Up" sheetId="1" state="visible" r:id="rId1"/>
    <sheet xmlns:r="http://schemas.openxmlformats.org/officeDocument/2006/relationships" name="Market Setup" sheetId="2" state="visible" r:id="rId2"/>
    <sheet xmlns:r="http://schemas.openxmlformats.org/officeDocument/2006/relationships" name="Excluded Usages" sheetId="3" state="visible" r:id="rId3"/>
    <sheet xmlns:r="http://schemas.openxmlformats.org/officeDocument/2006/relationships" name="Scope Validation" sheetId="4" state="visible" r:id="rId4"/>
    <sheet xmlns:r="http://schemas.openxmlformats.org/officeDocument/2006/relationships" name="Coverage Review" sheetId="5" state="visible" r:id="rId5"/>
    <sheet xmlns:r="http://schemas.openxmlformats.org/officeDocument/2006/relationships" name="Evidence Retrieval Plan" sheetId="6" state="visible" r:id="rId6"/>
    <sheet xmlns:r="http://schemas.openxmlformats.org/officeDocument/2006/relationships" name="Evidence Source Counters" sheetId="7" state="visible" r:id="rId7"/>
    <sheet xmlns:r="http://schemas.openxmlformats.org/officeDocument/2006/relationships" name="Driver Magnitude Checks" sheetId="8" state="visible" r:id="rId8"/>
    <sheet xmlns:r="http://schemas.openxmlformats.org/officeDocument/2006/relationships" name="Triangulation" sheetId="9" state="visible" r:id="rId9"/>
    <sheet xmlns:r="http://schemas.openxmlformats.org/officeDocument/2006/relationships" name="Magnitude Cross-Validation" sheetId="10" state="visible" r:id="rId10"/>
    <sheet xmlns:r="http://schemas.openxmlformats.org/officeDocument/2006/relationships" name="Evidence Strategy" sheetId="11" state="visible" r:id="rId11"/>
    <sheet xmlns:r="http://schemas.openxmlformats.org/officeDocument/2006/relationships" name="Price Basis" sheetId="12" state="visible" r:id="rId12"/>
    <sheet xmlns:r="http://schemas.openxmlformats.org/officeDocument/2006/relationships" name="Unit Contract" sheetId="13" state="visible" r:id="rId13"/>
    <sheet xmlns:r="http://schemas.openxmlformats.org/officeDocument/2006/relationships" name="Summary" sheetId="14" state="visible" r:id="rId14"/>
    <sheet xmlns:r="http://schemas.openxmlformats.org/officeDocument/2006/relationships" name="Validation" sheetId="15" state="visible" r:id="rId1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selection activeCell="A1" sqref="A1"/>
    </sheetView>
  </sheetViews>
  <sheetFormatPr baseColWidth="8" defaultRowHeight="15"/>
  <sheetData>
    <row r="1">
      <c r="A1" s="1" t="inlineStr">
        <is>
          <t>Market Name</t>
        </is>
      </c>
      <c r="B1" t="inlineStr">
        <is>
          <t>Olive Oil</t>
        </is>
      </c>
    </row>
    <row r="2">
      <c r="A2" s="1" t="inlineStr">
        <is>
          <t>Methodology</t>
        </is>
      </c>
      <c r="B2" t="inlineStr">
        <is>
          <t>Demand-Side (Usage/Application, bottom-up, evidence-first, human-approved setup+taxonomy V3)</t>
        </is>
      </c>
    </row>
    <row r="3"/>
    <row r="4">
      <c r="A4" s="1" t="inlineStr">
        <is>
          <t>Country</t>
        </is>
      </c>
      <c r="B4" s="1" t="inlineStr">
        <is>
          <t>Usage Bucket</t>
        </is>
      </c>
      <c r="C4" s="1" t="inlineStr">
        <is>
          <t>Bucket Category</t>
        </is>
      </c>
      <c r="D4" s="1" t="inlineStr">
        <is>
          <t>Driver</t>
        </is>
      </c>
      <c r="E4" s="1" t="inlineStr">
        <is>
          <t>Driver Unit</t>
        </is>
      </c>
      <c r="F4" s="1" t="inlineStr">
        <is>
          <t>Final Demand Unit</t>
        </is>
      </c>
      <c r="G4" s="1" t="inlineStr">
        <is>
          <t>Conversion Formula</t>
        </is>
      </c>
      <c r="H4" s="1" t="inlineStr">
        <is>
          <t>Library Status</t>
        </is>
      </c>
      <c r="I4" s="1" t="inlineStr">
        <is>
          <t>Quantity</t>
        </is>
      </c>
      <c r="J4" s="1" t="inlineStr">
        <is>
          <t>Provenance</t>
        </is>
      </c>
      <c r="K4" s="1" t="inlineStr">
        <is>
          <t>Provenance Note</t>
        </is>
      </c>
      <c r="L4" s="1" t="inlineStr">
        <is>
          <t>Driver Evidence Type</t>
        </is>
      </c>
      <c r="M4" s="1" t="inlineStr">
        <is>
          <t>Driver Source</t>
        </is>
      </c>
      <c r="N4" s="1" t="inlineStr">
        <is>
          <t>Driver Source URL</t>
        </is>
      </c>
      <c r="O4" s="1" t="inlineStr">
        <is>
          <t>Driver Citation</t>
        </is>
      </c>
      <c r="P4" s="1" t="inlineStr">
        <is>
          <t>Driver Year</t>
        </is>
      </c>
      <c r="Q4" s="1" t="inlineStr">
        <is>
          <t>Intensity Evidence Type</t>
        </is>
      </c>
      <c r="R4" s="1" t="inlineStr">
        <is>
          <t>ASP (US$/unit)</t>
        </is>
      </c>
      <c r="S4" s="1" t="inlineStr">
        <is>
          <t>ASP Evidence Type</t>
        </is>
      </c>
      <c r="T4" s="1" t="inlineStr">
        <is>
          <t>ASP Source</t>
        </is>
      </c>
      <c r="U4" s="1" t="inlineStr">
        <is>
          <t>ASP Source URL</t>
        </is>
      </c>
      <c r="V4" s="1" t="inlineStr">
        <is>
          <t>ASP Citation</t>
        </is>
      </c>
      <c r="W4" s="1" t="inlineStr">
        <is>
          <t>Value (US$ Mn)</t>
        </is>
      </c>
      <c r="X4" s="1" t="inlineStr">
        <is>
          <t>LLM Call Failed</t>
        </is>
      </c>
      <c r="Y4" s="1" t="inlineStr">
        <is>
          <t>Unit Contract Status</t>
        </is>
      </c>
      <c r="Z4" s="1" t="inlineStr">
        <is>
          <t>Normalized ASP (per base unit)</t>
        </is>
      </c>
    </row>
    <row r="5">
      <c r="A5" t="inlineStr">
        <is>
          <t>Spain</t>
        </is>
      </c>
      <c r="B5" t="inlineStr">
        <is>
          <t>Total Olive Oil demand</t>
        </is>
      </c>
      <c r="C5" t="inlineStr">
        <is>
          <t>physical_consumption</t>
        </is>
      </c>
      <c r="D5" t="inlineStr">
        <is>
          <t>Apparent domestic consumption of olive oil</t>
        </is>
      </c>
      <c r="E5" t="inlineStr">
        <is>
          <t>Tonnes</t>
        </is>
      </c>
      <c r="F5" t="inlineStr">
        <is>
          <t>Tonnes</t>
        </is>
      </c>
      <c r="G5" t="inlineStr">
        <is>
          <t>driver_value * intensity_value</t>
        </is>
      </c>
      <c r="H5" t="inlineStr">
        <is>
          <t>reused</t>
        </is>
      </c>
      <c r="I5" t="n">
        <v>500000</v>
      </c>
      <c r="J5" s="2" t="inlineStr">
        <is>
          <t>assumption</t>
        </is>
      </c>
      <c r="K5" t="inlineStr">
        <is>
          <t>driver=assumption, intensity=verified_observed</t>
        </is>
      </c>
      <c r="L5" s="2" t="inlineStr">
        <is>
          <t>assumption</t>
        </is>
      </c>
      <c r="M5" t="inlineStr">
        <is>
          <t>International Olive Council (IOC)</t>
        </is>
      </c>
      <c r="N5" t="inlineStr">
        <is>
          <t>https://www.internationaloliveoil.org/what-we-do/economic-affairs-promotion-unit/</t>
        </is>
      </c>
      <c r="O5" t="inlineStr">
        <is>
          <t>IOC, World Olive Oil Figures, 2022</t>
        </is>
      </c>
      <c r="P5" t="n">
        <v>2022</v>
      </c>
      <c r="Q5" t="inlineStr">
        <is>
          <t>verified_observed</t>
        </is>
      </c>
      <c r="R5" t="n">
        <v>4200</v>
      </c>
      <c r="S5" s="2" t="inlineStr">
        <is>
          <t>assumption</t>
        </is>
      </c>
      <c r="W5" t="n">
        <v>2100</v>
      </c>
      <c r="Y5" t="inlineStr">
        <is>
          <t>ok</t>
        </is>
      </c>
      <c r="Z5" t="n">
        <v>4200</v>
      </c>
    </row>
    <row r="6">
      <c r="A6" t="inlineStr">
        <is>
          <t>Italy</t>
        </is>
      </c>
      <c r="B6" t="inlineStr">
        <is>
          <t>Total Olive Oil demand</t>
        </is>
      </c>
      <c r="C6" t="inlineStr">
        <is>
          <t>physical_consumption</t>
        </is>
      </c>
      <c r="D6" t="inlineStr">
        <is>
          <t>Apparent domestic consumption of olive oil</t>
        </is>
      </c>
      <c r="E6" t="inlineStr">
        <is>
          <t>Tonnes</t>
        </is>
      </c>
      <c r="F6" t="inlineStr">
        <is>
          <t>Tonnes</t>
        </is>
      </c>
      <c r="G6" t="inlineStr">
        <is>
          <t>driver_value * intensity_value</t>
        </is>
      </c>
      <c r="H6" t="inlineStr">
        <is>
          <t>reused</t>
        </is>
      </c>
      <c r="I6" t="n">
        <v>500000</v>
      </c>
      <c r="J6" s="2" t="inlineStr">
        <is>
          <t>assumption</t>
        </is>
      </c>
      <c r="K6" t="inlineStr">
        <is>
          <t>driver=assumption, intensity=verified_observed</t>
        </is>
      </c>
      <c r="L6" s="2" t="inlineStr">
        <is>
          <t>assumption</t>
        </is>
      </c>
      <c r="M6" t="inlineStr">
        <is>
          <t>International Olive Council (IOC)</t>
        </is>
      </c>
      <c r="N6" t="inlineStr">
        <is>
          <t>https://www.internationaloliveoil.org/what-we-do/economic-affairs-promotion-unit/</t>
        </is>
      </c>
      <c r="O6" t="inlineStr">
        <is>
          <t>IOC, World Olive Oil Figures, 2022</t>
        </is>
      </c>
      <c r="P6" t="n">
        <v>2022</v>
      </c>
      <c r="Q6" t="inlineStr">
        <is>
          <t>verified_observed</t>
        </is>
      </c>
      <c r="R6" t="n">
        <v>4200</v>
      </c>
      <c r="S6" s="2" t="inlineStr">
        <is>
          <t>assumption</t>
        </is>
      </c>
      <c r="W6" t="n">
        <v>2100</v>
      </c>
      <c r="Y6" t="inlineStr">
        <is>
          <t>ok</t>
        </is>
      </c>
      <c r="Z6" t="n">
        <v>4200</v>
      </c>
    </row>
    <row r="7">
      <c r="A7" t="inlineStr">
        <is>
          <t>Greece</t>
        </is>
      </c>
      <c r="B7" t="inlineStr">
        <is>
          <t>Total Olive Oil demand</t>
        </is>
      </c>
      <c r="C7" t="inlineStr">
        <is>
          <t>physical_consumption</t>
        </is>
      </c>
      <c r="D7" t="inlineStr">
        <is>
          <t>Apparent domestic consumption of olive oil</t>
        </is>
      </c>
      <c r="E7" t="inlineStr">
        <is>
          <t>Tonnes</t>
        </is>
      </c>
      <c r="F7" t="inlineStr">
        <is>
          <t>Tonnes</t>
        </is>
      </c>
      <c r="G7" t="inlineStr">
        <is>
          <t>driver_value * intensity_value</t>
        </is>
      </c>
      <c r="H7" t="inlineStr">
        <is>
          <t>reused</t>
        </is>
      </c>
      <c r="I7" t="n">
        <v>250000</v>
      </c>
      <c r="J7" s="2" t="inlineStr">
        <is>
          <t>assumption</t>
        </is>
      </c>
      <c r="K7" t="inlineStr">
        <is>
          <t>driver=assumption, intensity=verified_observed</t>
        </is>
      </c>
      <c r="L7" s="2" t="inlineStr">
        <is>
          <t>assumption</t>
        </is>
      </c>
      <c r="M7" t="inlineStr">
        <is>
          <t>International Olive Council (IOC)</t>
        </is>
      </c>
      <c r="N7" t="inlineStr">
        <is>
          <t>https://www.internationaloliveoil.org/what-we-do/economic-affairs-promotion-unit/</t>
        </is>
      </c>
      <c r="O7" t="inlineStr">
        <is>
          <t>IOC, World Olive Oil Figures, 2020</t>
        </is>
      </c>
      <c r="P7" t="n">
        <v>2020</v>
      </c>
      <c r="Q7" t="inlineStr">
        <is>
          <t>verified_observed</t>
        </is>
      </c>
      <c r="R7" t="n">
        <v>4200</v>
      </c>
      <c r="S7" s="2" t="inlineStr">
        <is>
          <t>assumption</t>
        </is>
      </c>
      <c r="W7" t="n">
        <v>1050</v>
      </c>
      <c r="Y7" t="inlineStr">
        <is>
          <t>ok</t>
        </is>
      </c>
      <c r="Z7" t="n">
        <v>4200</v>
      </c>
    </row>
    <row r="8">
      <c r="A8" t="inlineStr">
        <is>
          <t>Portugal</t>
        </is>
      </c>
      <c r="B8" t="inlineStr">
        <is>
          <t>Total Olive Oil demand</t>
        </is>
      </c>
      <c r="C8" t="inlineStr">
        <is>
          <t>physical_consumption</t>
        </is>
      </c>
      <c r="D8" t="inlineStr">
        <is>
          <t>Apparent domestic consumption of olive oil</t>
        </is>
      </c>
      <c r="E8" t="inlineStr">
        <is>
          <t>Tonnes</t>
        </is>
      </c>
      <c r="F8" t="inlineStr">
        <is>
          <t>Tonnes</t>
        </is>
      </c>
      <c r="G8" t="inlineStr">
        <is>
          <t>driver_value * intensity_value</t>
        </is>
      </c>
      <c r="H8" t="inlineStr">
        <is>
          <t>reused</t>
        </is>
      </c>
      <c r="I8" t="n">
        <v>61000</v>
      </c>
      <c r="J8" s="3" t="inlineStr">
        <is>
          <t>verified_observed</t>
        </is>
      </c>
      <c r="K8" t="inlineStr">
        <is>
          <t>driver=verified_observed, intensity=verified_observed</t>
        </is>
      </c>
      <c r="L8" s="3" t="inlineStr">
        <is>
          <t>verified_observed</t>
        </is>
      </c>
      <c r="M8" t="inlineStr">
        <is>
          <t>Evidence Strategy source</t>
        </is>
      </c>
      <c r="N8" t="inlineStr">
        <is>
          <t>https://worldpopulationreview.com/country-rankings/olive-oil-consumption-by-country</t>
        </is>
      </c>
      <c r="O8" t="inlineStr">
        <is>
          <t>Portugal 61K</t>
        </is>
      </c>
      <c r="P8" t="n">
        <v>2022</v>
      </c>
      <c r="Q8" t="inlineStr">
        <is>
          <t>verified_observed</t>
        </is>
      </c>
      <c r="R8" t="n">
        <v>4200</v>
      </c>
      <c r="S8" s="2" t="inlineStr">
        <is>
          <t>assumption</t>
        </is>
      </c>
      <c r="W8" t="n">
        <v>256.2</v>
      </c>
      <c r="Y8" t="inlineStr">
        <is>
          <t>ok</t>
        </is>
      </c>
      <c r="Z8" t="n">
        <v>4200</v>
      </c>
    </row>
    <row r="9">
      <c r="A9" t="inlineStr">
        <is>
          <t>Tunisia</t>
        </is>
      </c>
      <c r="B9" t="inlineStr">
        <is>
          <t>Total Olive Oil demand</t>
        </is>
      </c>
      <c r="C9" t="inlineStr">
        <is>
          <t>physical_consumption</t>
        </is>
      </c>
      <c r="D9" t="inlineStr">
        <is>
          <t>Apparent domestic consumption of olive oil</t>
        </is>
      </c>
      <c r="E9" t="inlineStr">
        <is>
          <t>Tonnes</t>
        </is>
      </c>
      <c r="F9" t="inlineStr">
        <is>
          <t>Tonnes</t>
        </is>
      </c>
      <c r="G9" t="inlineStr">
        <is>
          <t>driver_value * intensity_value</t>
        </is>
      </c>
      <c r="H9" t="inlineStr">
        <is>
          <t>reused</t>
        </is>
      </c>
      <c r="I9" t="n">
        <v>50000</v>
      </c>
      <c r="J9" s="3" t="inlineStr">
        <is>
          <t>verified_observed</t>
        </is>
      </c>
      <c r="K9" t="inlineStr">
        <is>
          <t>driver=verified_observed, intensity=verified_observed</t>
        </is>
      </c>
      <c r="L9" s="3" t="inlineStr">
        <is>
          <t>verified_observed</t>
        </is>
      </c>
      <c r="M9" t="inlineStr">
        <is>
          <t>Evidence Strategy source</t>
        </is>
      </c>
      <c r="N9" t="inlineStr">
        <is>
          <t>https://news-tunisia.tunisienumerique.com/ministry-of-agriculture-tunisians-consume-an-average-of-only-3-liters-of-olive-oil-per-year/</t>
        </is>
      </c>
      <c r="O9" t="inlineStr">
        <is>
          <t>estimates place domestic olive oil consumption between 30,000 and 50,000 tonnes, depending on the price levels recorded in each season. Consumption can reach up to 50,000 tonnes during years marked by abundant national production</t>
        </is>
      </c>
      <c r="Q9" t="inlineStr">
        <is>
          <t>verified_observed</t>
        </is>
      </c>
      <c r="R9" t="n">
        <v>4200</v>
      </c>
      <c r="S9" s="2" t="inlineStr">
        <is>
          <t>assumption</t>
        </is>
      </c>
      <c r="W9" t="n">
        <v>210</v>
      </c>
      <c r="Y9" t="inlineStr">
        <is>
          <t>ok</t>
        </is>
      </c>
      <c r="Z9" t="n">
        <v>4200</v>
      </c>
    </row>
    <row r="10">
      <c r="A10" t="inlineStr">
        <is>
          <t>Turkey</t>
        </is>
      </c>
      <c r="B10" t="inlineStr">
        <is>
          <t>Total Olive Oil demand</t>
        </is>
      </c>
      <c r="C10" t="inlineStr">
        <is>
          <t>physical_consumption</t>
        </is>
      </c>
      <c r="D10" t="inlineStr">
        <is>
          <t>Apparent domestic consumption of olive oil</t>
        </is>
      </c>
      <c r="E10" t="inlineStr">
        <is>
          <t>Tonnes</t>
        </is>
      </c>
      <c r="F10" t="inlineStr">
        <is>
          <t>Tonnes</t>
        </is>
      </c>
      <c r="G10" t="inlineStr">
        <is>
          <t>driver_value * intensity_value</t>
        </is>
      </c>
      <c r="H10" t="inlineStr">
        <is>
          <t>reused</t>
        </is>
      </c>
      <c r="I10" t="n">
        <v>180000</v>
      </c>
      <c r="J10" s="2" t="inlineStr">
        <is>
          <t>assumption</t>
        </is>
      </c>
      <c r="K10" t="inlineStr">
        <is>
          <t>driver=assumption, intensity=verified_observed</t>
        </is>
      </c>
      <c r="L10" s="2" t="inlineStr">
        <is>
          <t>assumption</t>
        </is>
      </c>
      <c r="M10" t="inlineStr">
        <is>
          <t>International Olive Council (IOC)</t>
        </is>
      </c>
      <c r="N10" t="inlineStr">
        <is>
          <t>https://www.internationaloliveoil.org/what-we-do/economic-affairs-promotion-unit/</t>
        </is>
      </c>
      <c r="O10" t="inlineStr">
        <is>
          <t>IOC, World Olive Oil and Table Olive Figures</t>
        </is>
      </c>
      <c r="P10" t="n">
        <v>2022</v>
      </c>
      <c r="Q10" t="inlineStr">
        <is>
          <t>verified_observed</t>
        </is>
      </c>
      <c r="R10" t="n">
        <v>4200</v>
      </c>
      <c r="S10" s="2" t="inlineStr">
        <is>
          <t>assumption</t>
        </is>
      </c>
      <c r="W10" t="n">
        <v>756</v>
      </c>
      <c r="Y10" t="inlineStr">
        <is>
          <t>ok</t>
        </is>
      </c>
      <c r="Z10" t="n">
        <v>4200</v>
      </c>
    </row>
    <row r="11">
      <c r="A11" t="inlineStr">
        <is>
          <t>Morocco</t>
        </is>
      </c>
      <c r="B11" t="inlineStr">
        <is>
          <t>Total Olive Oil demand</t>
        </is>
      </c>
      <c r="C11" t="inlineStr">
        <is>
          <t>physical_consumption</t>
        </is>
      </c>
      <c r="D11" t="inlineStr">
        <is>
          <t>Apparent domestic consumption of olive oil</t>
        </is>
      </c>
      <c r="E11" t="inlineStr">
        <is>
          <t>Tonnes</t>
        </is>
      </c>
      <c r="F11" t="inlineStr">
        <is>
          <t>Tonnes</t>
        </is>
      </c>
      <c r="G11" t="inlineStr">
        <is>
          <t>driver_value * intensity_value</t>
        </is>
      </c>
      <c r="H11" t="inlineStr">
        <is>
          <t>reused</t>
        </is>
      </c>
      <c r="I11" t="n">
        <v>120000</v>
      </c>
      <c r="J11" s="2" t="inlineStr">
        <is>
          <t>assumption</t>
        </is>
      </c>
      <c r="K11" t="inlineStr">
        <is>
          <t>driver=assumption, intensity=verified_observed</t>
        </is>
      </c>
      <c r="L11" s="2" t="inlineStr">
        <is>
          <t>assumption</t>
        </is>
      </c>
      <c r="M11" t="inlineStr">
        <is>
          <t>International Olive Council (IOC)</t>
        </is>
      </c>
      <c r="N11" t="inlineStr">
        <is>
          <t>https://www.internationaloliveoil.org/what-we-do/economic-affairs-promotion-unit/#figures</t>
        </is>
      </c>
      <c r="O11" t="inlineStr">
        <is>
          <t>IOC, World Olive Oil Figures, 2022</t>
        </is>
      </c>
      <c r="P11" t="n">
        <v>2022</v>
      </c>
      <c r="Q11" t="inlineStr">
        <is>
          <t>verified_observed</t>
        </is>
      </c>
      <c r="R11" t="n">
        <v>4200</v>
      </c>
      <c r="S11" s="2" t="inlineStr">
        <is>
          <t>assumption</t>
        </is>
      </c>
      <c r="W11" t="n">
        <v>504</v>
      </c>
      <c r="Y11" t="inlineStr">
        <is>
          <t>ok</t>
        </is>
      </c>
      <c r="Z11" t="n">
        <v>4200</v>
      </c>
    </row>
    <row r="12">
      <c r="A12" t="inlineStr">
        <is>
          <t>United States</t>
        </is>
      </c>
      <c r="B12" t="inlineStr">
        <is>
          <t>Total Olive Oil demand</t>
        </is>
      </c>
      <c r="C12" t="inlineStr">
        <is>
          <t>physical_consumption</t>
        </is>
      </c>
      <c r="D12" t="inlineStr">
        <is>
          <t>Apparent domestic consumption of olive oil</t>
        </is>
      </c>
      <c r="E12" t="inlineStr">
        <is>
          <t>Tonnes</t>
        </is>
      </c>
      <c r="F12" t="inlineStr">
        <is>
          <t>Tonnes</t>
        </is>
      </c>
      <c r="G12" t="inlineStr">
        <is>
          <t>driver_value * intensity_value</t>
        </is>
      </c>
      <c r="H12" t="inlineStr">
        <is>
          <t>reused</t>
        </is>
      </c>
      <c r="I12" t="n">
        <v>381000</v>
      </c>
      <c r="J12" s="3" t="inlineStr">
        <is>
          <t>verified_observed</t>
        </is>
      </c>
      <c r="K12" t="inlineStr">
        <is>
          <t>driver=verified_observed, intensity=verified_observed</t>
        </is>
      </c>
      <c r="L12" s="3" t="inlineStr">
        <is>
          <t>verified_observed</t>
        </is>
      </c>
      <c r="M12" t="inlineStr">
        <is>
          <t>Evidence Strategy source</t>
        </is>
      </c>
      <c r="N12" t="inlineStr">
        <is>
          <t>https://worldpopulationreview.com/country-rankings/olive-oil-consumption-by-country</t>
        </is>
      </c>
      <c r="O12" t="inlineStr">
        <is>
          <t>United States 381K tonnes</t>
        </is>
      </c>
      <c r="P12" t="n">
        <v>2022</v>
      </c>
      <c r="Q12" t="inlineStr">
        <is>
          <t>verified_observed</t>
        </is>
      </c>
      <c r="R12" t="n">
        <v>4200</v>
      </c>
      <c r="S12" s="2" t="inlineStr">
        <is>
          <t>assumption</t>
        </is>
      </c>
      <c r="W12" t="n">
        <v>1600.2</v>
      </c>
      <c r="Y12" t="inlineStr">
        <is>
          <t>ok</t>
        </is>
      </c>
      <c r="Z12" t="n">
        <v>4200</v>
      </c>
    </row>
    <row r="13">
      <c r="A13" t="inlineStr">
        <is>
          <t>France</t>
        </is>
      </c>
      <c r="B13" t="inlineStr">
        <is>
          <t>Total Olive Oil demand</t>
        </is>
      </c>
      <c r="C13" t="inlineStr">
        <is>
          <t>physical_consumption</t>
        </is>
      </c>
      <c r="D13" t="inlineStr">
        <is>
          <t>Apparent domestic consumption of olive oil</t>
        </is>
      </c>
      <c r="E13" t="inlineStr">
        <is>
          <t>Tonnes</t>
        </is>
      </c>
      <c r="F13" t="inlineStr">
        <is>
          <t>Tonnes</t>
        </is>
      </c>
      <c r="G13" t="inlineStr">
        <is>
          <t>driver_value * intensity_value</t>
        </is>
      </c>
      <c r="H13" t="inlineStr">
        <is>
          <t>reused</t>
        </is>
      </c>
      <c r="I13" t="n">
        <v>110000</v>
      </c>
      <c r="J13" s="2" t="inlineStr">
        <is>
          <t>assumption</t>
        </is>
      </c>
      <c r="K13" t="inlineStr">
        <is>
          <t>driver=assumption, intensity=verified_observed</t>
        </is>
      </c>
      <c r="L13" s="2" t="inlineStr">
        <is>
          <t>assumption</t>
        </is>
      </c>
      <c r="M13" t="inlineStr">
        <is>
          <t>International Olive Council (IOC)</t>
        </is>
      </c>
      <c r="N13" t="inlineStr">
        <is>
          <t>https://www.internationaloliveoil.org/what-we-do/economic-affairs-promotion-unit/#figures</t>
        </is>
      </c>
      <c r="O13" t="inlineStr">
        <is>
          <t>IOC, World Olive Oil Figures, 2022</t>
        </is>
      </c>
      <c r="P13" t="n">
        <v>2022</v>
      </c>
      <c r="Q13" t="inlineStr">
        <is>
          <t>verified_observed</t>
        </is>
      </c>
      <c r="R13" t="n">
        <v>4200</v>
      </c>
      <c r="S13" s="2" t="inlineStr">
        <is>
          <t>assumption</t>
        </is>
      </c>
      <c r="W13" t="n">
        <v>462</v>
      </c>
      <c r="Y13" t="inlineStr">
        <is>
          <t>ok</t>
        </is>
      </c>
      <c r="Z13" t="n">
        <v>4200</v>
      </c>
    </row>
    <row r="14">
      <c r="A14" t="inlineStr">
        <is>
          <t>Germany</t>
        </is>
      </c>
      <c r="B14" t="inlineStr">
        <is>
          <t>Total Olive Oil demand</t>
        </is>
      </c>
      <c r="C14" t="inlineStr">
        <is>
          <t>physical_consumption</t>
        </is>
      </c>
      <c r="D14" t="inlineStr">
        <is>
          <t>Apparent domestic consumption of olive oil</t>
        </is>
      </c>
      <c r="E14" t="inlineStr">
        <is>
          <t>Tonnes</t>
        </is>
      </c>
      <c r="F14" t="inlineStr">
        <is>
          <t>Tonnes</t>
        </is>
      </c>
      <c r="G14" t="inlineStr">
        <is>
          <t>driver_value * intensity_value</t>
        </is>
      </c>
      <c r="H14" t="inlineStr">
        <is>
          <t>reused</t>
        </is>
      </c>
      <c r="I14" t="n">
        <v>70000</v>
      </c>
      <c r="J14" s="2" t="inlineStr">
        <is>
          <t>assumption</t>
        </is>
      </c>
      <c r="K14" t="inlineStr">
        <is>
          <t>driver=assumption, intensity=verified_observed</t>
        </is>
      </c>
      <c r="L14" s="2" t="inlineStr">
        <is>
          <t>assumption</t>
        </is>
      </c>
      <c r="M14" t="inlineStr">
        <is>
          <t>International Olive Council (IOC)</t>
        </is>
      </c>
      <c r="N14" t="inlineStr">
        <is>
          <t>https://www.internationaloliveoil.org/what-we-do/economic-affairs-promotion-unit/</t>
        </is>
      </c>
      <c r="O14" t="inlineStr">
        <is>
          <t>IOC, World Olive Oil Figures, 2020</t>
        </is>
      </c>
      <c r="P14" t="n">
        <v>2020</v>
      </c>
      <c r="Q14" t="inlineStr">
        <is>
          <t>verified_observed</t>
        </is>
      </c>
      <c r="R14" t="n">
        <v>4200</v>
      </c>
      <c r="S14" s="2" t="inlineStr">
        <is>
          <t>assumption</t>
        </is>
      </c>
      <c r="W14" t="n">
        <v>294</v>
      </c>
      <c r="Y14" t="inlineStr">
        <is>
          <t>ok</t>
        </is>
      </c>
      <c r="Z14" t="n">
        <v>4200</v>
      </c>
    </row>
    <row r="15">
      <c r="A15" t="inlineStr">
        <is>
          <t>United Kingdom</t>
        </is>
      </c>
      <c r="B15" t="inlineStr">
        <is>
          <t>Total Olive Oil demand</t>
        </is>
      </c>
      <c r="C15" t="inlineStr">
        <is>
          <t>physical_consumption</t>
        </is>
      </c>
      <c r="D15" t="inlineStr">
        <is>
          <t>Apparent domestic consumption of olive oil</t>
        </is>
      </c>
      <c r="E15" t="inlineStr">
        <is>
          <t>Tonnes</t>
        </is>
      </c>
      <c r="F15" t="inlineStr">
        <is>
          <t>Tonnes</t>
        </is>
      </c>
      <c r="G15" t="inlineStr">
        <is>
          <t>driver_value * intensity_value</t>
        </is>
      </c>
      <c r="H15" t="inlineStr">
        <is>
          <t>reused</t>
        </is>
      </c>
      <c r="I15" t="n">
        <v>75000</v>
      </c>
      <c r="J15" s="2" t="inlineStr">
        <is>
          <t>assumption</t>
        </is>
      </c>
      <c r="K15" t="inlineStr">
        <is>
          <t>driver=assumption, intensity=verified_observed</t>
        </is>
      </c>
      <c r="L15" s="2" t="inlineStr">
        <is>
          <t>assumption</t>
        </is>
      </c>
      <c r="M15" t="inlineStr">
        <is>
          <t>International Olive Council (IOC)</t>
        </is>
      </c>
      <c r="N15" t="inlineStr">
        <is>
          <t>https://www.internationaloliveoil.org/what-we-do/economic-affairs-promotion-unit/</t>
        </is>
      </c>
      <c r="O15" t="inlineStr">
        <is>
          <t>IOC, World Olive Oil Figures</t>
        </is>
      </c>
      <c r="P15" t="n">
        <v>2022</v>
      </c>
      <c r="Q15" t="inlineStr">
        <is>
          <t>verified_observed</t>
        </is>
      </c>
      <c r="R15" t="n">
        <v>4200</v>
      </c>
      <c r="S15" s="2" t="inlineStr">
        <is>
          <t>assumption</t>
        </is>
      </c>
      <c r="W15" t="n">
        <v>315</v>
      </c>
      <c r="Y15" t="inlineStr">
        <is>
          <t>ok</t>
        </is>
      </c>
      <c r="Z15" t="n">
        <v>4200</v>
      </c>
    </row>
    <row r="16">
      <c r="A16" t="inlineStr">
        <is>
          <t>Brazil</t>
        </is>
      </c>
      <c r="B16" t="inlineStr">
        <is>
          <t>Total Olive Oil demand</t>
        </is>
      </c>
      <c r="C16" t="inlineStr">
        <is>
          <t>physical_consumption</t>
        </is>
      </c>
      <c r="D16" t="inlineStr">
        <is>
          <t>Apparent domestic consumption of olive oil</t>
        </is>
      </c>
      <c r="E16" t="inlineStr">
        <is>
          <t>Tonnes</t>
        </is>
      </c>
      <c r="F16" t="inlineStr">
        <is>
          <t>Tonnes</t>
        </is>
      </c>
      <c r="G16" t="inlineStr">
        <is>
          <t>driver_value * intensity_value</t>
        </is>
      </c>
      <c r="H16" t="inlineStr">
        <is>
          <t>reused</t>
        </is>
      </c>
      <c r="I16" t="n">
        <v>100000</v>
      </c>
      <c r="J16" s="2" t="inlineStr">
        <is>
          <t>assumption</t>
        </is>
      </c>
      <c r="K16" t="inlineStr">
        <is>
          <t>driver=assumption, intensity=verified_observed</t>
        </is>
      </c>
      <c r="L16" s="2" t="inlineStr">
        <is>
          <t>assumption</t>
        </is>
      </c>
      <c r="M16" t="inlineStr">
        <is>
          <t>International Olive Council (IOC)</t>
        </is>
      </c>
      <c r="N16" t="inlineStr">
        <is>
          <t>https://www.internationaloliveoil.org/what-we-do/economic-affairs-promotion-unit/</t>
        </is>
      </c>
      <c r="O16" t="inlineStr">
        <is>
          <t>IOC, World Olive Oil and Table Olive Figures</t>
        </is>
      </c>
      <c r="P16" t="n">
        <v>2022</v>
      </c>
      <c r="Q16" t="inlineStr">
        <is>
          <t>verified_observed</t>
        </is>
      </c>
      <c r="R16" t="n">
        <v>4200</v>
      </c>
      <c r="S16" s="2" t="inlineStr">
        <is>
          <t>assumption</t>
        </is>
      </c>
      <c r="W16" t="n">
        <v>420</v>
      </c>
      <c r="Y16" t="inlineStr">
        <is>
          <t>ok</t>
        </is>
      </c>
      <c r="Z16" t="n">
        <v>4200</v>
      </c>
    </row>
    <row r="17">
      <c r="A17" t="inlineStr">
        <is>
          <t>Japan</t>
        </is>
      </c>
      <c r="B17" t="inlineStr">
        <is>
          <t>Total Olive Oil demand</t>
        </is>
      </c>
      <c r="C17" t="inlineStr">
        <is>
          <t>physical_consumption</t>
        </is>
      </c>
      <c r="D17" t="inlineStr">
        <is>
          <t>Apparent domestic consumption of olive oil</t>
        </is>
      </c>
      <c r="E17" t="inlineStr">
        <is>
          <t>Tonnes</t>
        </is>
      </c>
      <c r="F17" t="inlineStr">
        <is>
          <t>Tonnes</t>
        </is>
      </c>
      <c r="G17" t="inlineStr">
        <is>
          <t>driver_value * intensity_value</t>
        </is>
      </c>
      <c r="H17" t="inlineStr">
        <is>
          <t>reused</t>
        </is>
      </c>
      <c r="I17" t="n">
        <v>55000</v>
      </c>
      <c r="J17" s="2" t="inlineStr">
        <is>
          <t>assumption</t>
        </is>
      </c>
      <c r="K17" t="inlineStr">
        <is>
          <t>driver=assumption, intensity=verified_observed</t>
        </is>
      </c>
      <c r="L17" s="2" t="inlineStr">
        <is>
          <t>assumption</t>
        </is>
      </c>
      <c r="M17" t="inlineStr">
        <is>
          <t>International Olive Council (IOC)</t>
        </is>
      </c>
      <c r="N17" t="inlineStr">
        <is>
          <t>https://www.internationaloliveoil.org/what-we-do/economic-affairs-promotion-unit/</t>
        </is>
      </c>
      <c r="O17" t="inlineStr">
        <is>
          <t>IOC, World Olive Oil and Table Olive Figures</t>
        </is>
      </c>
      <c r="P17" t="n">
        <v>2022</v>
      </c>
      <c r="Q17" t="inlineStr">
        <is>
          <t>verified_observed</t>
        </is>
      </c>
      <c r="R17" t="n">
        <v>4200</v>
      </c>
      <c r="S17" s="2" t="inlineStr">
        <is>
          <t>assumption</t>
        </is>
      </c>
      <c r="W17" t="n">
        <v>231</v>
      </c>
      <c r="Y17" t="inlineStr">
        <is>
          <t>ok</t>
        </is>
      </c>
      <c r="Z17" t="n">
        <v>4200</v>
      </c>
    </row>
    <row r="18">
      <c r="A18" t="inlineStr">
        <is>
          <t>Australia</t>
        </is>
      </c>
      <c r="B18" t="inlineStr">
        <is>
          <t>Total Olive Oil demand</t>
        </is>
      </c>
      <c r="C18" t="inlineStr">
        <is>
          <t>physical_consumption</t>
        </is>
      </c>
      <c r="D18" t="inlineStr">
        <is>
          <t>Apparent domestic consumption of olive oil</t>
        </is>
      </c>
      <c r="E18" t="inlineStr">
        <is>
          <t>Tonnes</t>
        </is>
      </c>
      <c r="F18" t="inlineStr">
        <is>
          <t>Tonnes</t>
        </is>
      </c>
      <c r="G18" t="inlineStr">
        <is>
          <t>driver_value * intensity_value</t>
        </is>
      </c>
      <c r="H18" t="inlineStr">
        <is>
          <t>reused</t>
        </is>
      </c>
      <c r="I18" t="n">
        <v>47000</v>
      </c>
      <c r="J18" s="2" t="inlineStr">
        <is>
          <t>assumption</t>
        </is>
      </c>
      <c r="K18" t="inlineStr">
        <is>
          <t>driver=assumption, intensity=verified_observed</t>
        </is>
      </c>
      <c r="L18" s="2" t="inlineStr">
        <is>
          <t>assumption</t>
        </is>
      </c>
      <c r="M18" t="inlineStr">
        <is>
          <t>International Olive Council (IOC)</t>
        </is>
      </c>
      <c r="N18" t="inlineStr">
        <is>
          <t>https://www.internationaloliveoil.org/what-we-do/economic-affairs-promotion-unit/</t>
        </is>
      </c>
      <c r="O18" t="inlineStr">
        <is>
          <t>IOC, World Olive Oil Figures, 2022</t>
        </is>
      </c>
      <c r="P18" t="n">
        <v>2022</v>
      </c>
      <c r="Q18" t="inlineStr">
        <is>
          <t>verified_observed</t>
        </is>
      </c>
      <c r="R18" t="n">
        <v>4200</v>
      </c>
      <c r="S18" s="2" t="inlineStr">
        <is>
          <t>assumption</t>
        </is>
      </c>
      <c r="W18" t="n">
        <v>197.4</v>
      </c>
      <c r="Y18" t="inlineStr">
        <is>
          <t>ok</t>
        </is>
      </c>
      <c r="Z18" t="n">
        <v>4200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A1" s="1" t="inlineStr">
        <is>
          <t>Market Name</t>
        </is>
      </c>
      <c r="B1" t="inlineStr">
        <is>
          <t>Olive Oil</t>
        </is>
      </c>
    </row>
    <row r="2">
      <c r="A2" s="1" t="inlineStr">
        <is>
          <t>Scope</t>
        </is>
      </c>
      <c r="B2" t="inlineStr">
        <is>
          <t>This market covers olive oil as a finished edible commodity — virgin, extra virgin, and processed/refined olive oil — valued at the point of first sale or consumption, whether sold in bulk or packaged for retail, foodservice, or industrial food use. It excludes non-olive edible oils (palm, sunflower, rapeseed, coconut, mustard), olive-derived non-oil products (table olives, olive pomace, olive leaf extract), and olive oil used as an input to separately valued markets such as cosmetics, pharmaceuticals, and personal-care formulations, which are not priced as part of this market. Downstream end-use demand — including foodservice frying volumes, retail packaged-oil sales, and industrial food-manufacturing usage — is used only as an intermediate signal to derive how much olive oil those usages require, and never as a separately valued commodity within this market. Olive oil used in cosmetics or pharmaceuticals is out of scope only where it is not valued as olive oil at all; where such usage is simply an end-use of the same edible-grade oil, it remains in scope.</t>
        </is>
      </c>
    </row>
    <row r="3">
      <c r="A3" s="1" t="inlineStr">
        <is>
          <t>Geography</t>
        </is>
      </c>
      <c r="B3" t="inlineStr">
        <is>
          <t>Spain, Italy, Greece, Portugal, Tunisia, Turkey, Morocco, United States, France, Germany, United Kingdom, Brazil, Japan, Australia</t>
        </is>
      </c>
    </row>
    <row r="4">
      <c r="A4" s="1" t="inlineStr">
        <is>
          <t>Base Year</t>
        </is>
      </c>
      <c r="B4" t="n">
        <v>2025</v>
      </c>
    </row>
    <row r="5">
      <c r="A5" s="1" t="inlineStr">
        <is>
          <t>Market Unit</t>
        </is>
      </c>
      <c r="B5" t="inlineStr">
        <is>
          <t>USD Bn</t>
        </is>
      </c>
    </row>
    <row r="6">
      <c r="A6" s="1" t="inlineStr">
        <is>
          <t>Physical Unit</t>
        </is>
      </c>
      <c r="B6" t="inlineStr">
        <is>
          <t>Tonnes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sheetData>
    <row r="1">
      <c r="A1" s="1" t="inlineStr">
        <is>
          <t>Bucket</t>
        </is>
      </c>
      <c r="B1" s="1" t="inlineStr">
        <is>
          <t>Description</t>
        </is>
      </c>
      <c r="C1" s="1" t="inlineStr">
        <is>
          <t>Status</t>
        </is>
      </c>
      <c r="D1" s="1" t="inlineStr">
        <is>
          <t>Classification</t>
        </is>
      </c>
      <c r="E1" s="1" t="inlineStr">
        <is>
          <t>Reason</t>
        </is>
      </c>
      <c r="F1" s="1" t="inlineStr">
        <is>
          <t>Confidence</t>
        </is>
      </c>
    </row>
    <row r="2">
      <c r="A2" t="inlineStr">
        <is>
          <t>(none -- every discovered usage bucket was classified as a genuine physical end-use)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sheetData>
    <row r="1">
      <c r="A1" s="1" t="inlineStr">
        <is>
          <t>Usage Bucket</t>
        </is>
      </c>
      <c r="B1" s="1" t="inlineStr">
        <is>
          <t>Classification</t>
        </is>
      </c>
      <c r="C1" s="1" t="inlineStr">
        <is>
          <t>Reason</t>
        </is>
      </c>
      <c r="D1" s="1" t="inlineStr">
        <is>
          <t>Evidence</t>
        </is>
      </c>
      <c r="E1" s="1" t="inlineStr">
        <is>
          <t>Confidence</t>
        </is>
      </c>
      <c r="F1" s="1" t="inlineStr">
        <is>
          <t>Source</t>
        </is>
      </c>
    </row>
    <row r="2">
      <c r="A2" t="inlineStr">
        <is>
          <t>(no scope validation flags recorded)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sheetData>
    <row r="1">
      <c r="A1" s="1" t="inlineStr">
        <is>
          <t>Candidate Missing Application</t>
        </is>
      </c>
      <c r="B1" s="1" t="inlineStr">
        <is>
          <t>Reason</t>
        </is>
      </c>
      <c r="C1" s="1" t="inlineStr">
        <is>
          <t>Evidence Type</t>
        </is>
      </c>
      <c r="D1" s="1" t="inlineStr">
        <is>
          <t>Evidence Snippet</t>
        </is>
      </c>
      <c r="E1" s="1" t="inlineStr">
        <is>
          <t>Confidence</t>
        </is>
      </c>
      <c r="F1" s="1" t="inlineStr">
        <is>
          <t>Max Similarity to Existing Bucket</t>
        </is>
      </c>
    </row>
    <row r="2">
      <c r="A2" t="inlineStr">
        <is>
          <t>(none -- no evidence-supported coverage gaps were found; NOT proof of full coverage)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64"/>
  <sheetViews>
    <sheetView workbookViewId="0">
      <selection activeCell="A1" sqref="A1"/>
    </sheetView>
  </sheetViews>
  <sheetFormatPr baseColWidth="8" defaultRowHeight="15"/>
  <sheetData>
    <row r="1">
      <c r="A1" s="1" t="inlineStr">
        <is>
          <t>Kind</t>
        </is>
      </c>
      <c r="B1" s="1" t="inlineStr">
        <is>
          <t>Usage Bucket</t>
        </is>
      </c>
      <c r="C1" s="1" t="inlineStr">
        <is>
          <t>Geography</t>
        </is>
      </c>
      <c r="D1" s="1" t="inlineStr">
        <is>
          <t>Source Priority Rank</t>
        </is>
      </c>
      <c r="E1" s="1" t="inlineStr">
        <is>
          <t>Source Name</t>
        </is>
      </c>
      <c r="F1" s="1" t="inlineStr">
        <is>
          <t>Source Type</t>
        </is>
      </c>
      <c r="G1" s="1" t="inlineStr">
        <is>
          <t>Search Query / Locator</t>
        </is>
      </c>
      <c r="H1" s="1" t="inlineStr">
        <is>
          <t>Num Results</t>
        </is>
      </c>
      <c r="I1" s="1" t="inlineStr">
        <is>
          <t>Found</t>
        </is>
      </c>
      <c r="J1" s="1" t="inlineStr">
        <is>
          <t>Source URL / Document</t>
        </is>
      </c>
      <c r="K1" s="1" t="inlineStr">
        <is>
          <t>Page / Sheet / Field Ref</t>
        </is>
      </c>
      <c r="L1" s="1" t="inlineStr">
        <is>
          <t>Value</t>
        </is>
      </c>
      <c r="M1" s="1" t="inlineStr">
        <is>
          <t>Unit</t>
        </is>
      </c>
      <c r="N1" s="1" t="inlineStr">
        <is>
          <t>Year</t>
        </is>
      </c>
      <c r="O1" s="1" t="inlineStr">
        <is>
          <t>Citation</t>
        </is>
      </c>
      <c r="P1" s="1" t="inlineStr">
        <is>
          <t>Evidence Type</t>
        </is>
      </c>
      <c r="Q1" s="1" t="inlineStr">
        <is>
          <t>Rejection Reason</t>
        </is>
      </c>
    </row>
    <row r="2">
      <c r="A2" t="inlineStr">
        <is>
          <t>Driver</t>
        </is>
      </c>
      <c r="B2" t="inlineStr">
        <is>
          <t>Total Olive Oil demand</t>
        </is>
      </c>
      <c r="C2" t="inlineStr">
        <is>
          <t>Spain</t>
        </is>
      </c>
      <c r="D2" t="n">
        <v>1</v>
      </c>
      <c r="E2" t="inlineStr">
        <is>
          <t>Evidence Strategy source</t>
        </is>
      </c>
      <c r="F2" t="inlineStr">
        <is>
          <t>web_page</t>
        </is>
      </c>
      <c r="G2" t="inlineStr">
        <is>
          <t>Spain Apparent domestic consumption of olive oil Tonnes</t>
        </is>
      </c>
      <c r="H2" t="n">
        <v>5</v>
      </c>
      <c r="I2" s="2" t="inlineStr">
        <is>
          <t>no</t>
        </is>
      </c>
      <c r="Q2" t="inlineStr">
        <is>
          <t>unit_mismatch</t>
        </is>
      </c>
    </row>
    <row r="3">
      <c r="A3" t="inlineStr">
        <is>
          <t>Driver</t>
        </is>
      </c>
      <c r="B3" t="inlineStr">
        <is>
          <t>Total Olive Oil demand</t>
        </is>
      </c>
      <c r="C3" t="inlineStr">
        <is>
          <t>Spain</t>
        </is>
      </c>
      <c r="D3" t="n">
        <v>2</v>
      </c>
      <c r="E3" t="inlineStr">
        <is>
          <t>International Olive Council (IOC)</t>
        </is>
      </c>
      <c r="F3" t="inlineStr">
        <is>
          <t>pdf</t>
        </is>
      </c>
      <c r="H3" t="n">
        <v>0</v>
      </c>
      <c r="I3" s="2" t="inlineStr">
        <is>
          <t>no</t>
        </is>
      </c>
      <c r="J3" t="inlineStr">
        <is>
          <t>https://www.internationaloliveoil.org/wp-content/uploads/2022/06/IOC-Consumer-behaviour-study-in-Spain.html</t>
        </is>
      </c>
      <c r="Q3" t="inlineStr">
        <is>
          <t>html_landing_page_not_asset</t>
        </is>
      </c>
    </row>
    <row r="4">
      <c r="A4" t="inlineStr">
        <is>
          <t>Driver</t>
        </is>
      </c>
      <c r="B4" t="inlineStr">
        <is>
          <t>Total Olive Oil demand</t>
        </is>
      </c>
      <c r="C4" t="inlineStr">
        <is>
          <t>Spain</t>
        </is>
      </c>
      <c r="D4" t="n">
        <v>3</v>
      </c>
      <c r="E4" t="inlineStr">
        <is>
          <t>FAOSTAT (Food and Agriculture Organization of the United Nations)</t>
        </is>
      </c>
      <c r="F4" t="inlineStr">
        <is>
          <t>api</t>
        </is>
      </c>
      <c r="H4" t="n">
        <v>0</v>
      </c>
      <c r="I4" s="2" t="inlineStr">
        <is>
          <t>no</t>
        </is>
      </c>
      <c r="J4" t="inlineStr">
        <is>
          <t>https://fenixservices.fao.org/faostat/api/v1/en/data/FOOD_BALANCE</t>
        </is>
      </c>
      <c r="Q4" t="inlineStr">
        <is>
          <t>network_error</t>
        </is>
      </c>
    </row>
    <row r="5">
      <c r="A5" t="inlineStr">
        <is>
          <t>Driver</t>
        </is>
      </c>
      <c r="B5" t="inlineStr">
        <is>
          <t>Total Olive Oil demand</t>
        </is>
      </c>
      <c r="C5" t="inlineStr">
        <is>
          <t>Spain</t>
        </is>
      </c>
      <c r="D5" t="n">
        <v>4</v>
      </c>
      <c r="E5" t="inlineStr">
        <is>
          <t>UN Comtrade Database</t>
        </is>
      </c>
      <c r="F5" t="inlineStr">
        <is>
          <t>api</t>
        </is>
      </c>
      <c r="H5" t="n">
        <v>0</v>
      </c>
      <c r="I5" s="2" t="inlineStr">
        <is>
          <t>no</t>
        </is>
      </c>
      <c r="J5" t="inlineStr">
        <is>
          <t>https://comtradeapi.un.org/public/v1/preview/C/A/HS</t>
        </is>
      </c>
      <c r="Q5" t="inlineStr">
        <is>
          <t>no_data_for_query</t>
        </is>
      </c>
    </row>
    <row r="6">
      <c r="A6" t="inlineStr">
        <is>
          <t>Driver</t>
        </is>
      </c>
      <c r="B6" t="inlineStr">
        <is>
          <t>Total Olive Oil demand</t>
        </is>
      </c>
      <c r="C6" t="inlineStr">
        <is>
          <t>Spain</t>
        </is>
      </c>
      <c r="D6" t="n">
        <v>5</v>
      </c>
      <c r="E6" t="inlineStr">
        <is>
          <t>International Olive Council (IOC)</t>
        </is>
      </c>
      <c r="F6" t="inlineStr">
        <is>
          <t>llm_claim</t>
        </is>
      </c>
      <c r="H6" t="n">
        <v>0</v>
      </c>
      <c r="I6" s="3" t="inlineStr">
        <is>
          <t>YES</t>
        </is>
      </c>
      <c r="J6" t="inlineStr">
        <is>
          <t>https://www.internationaloliveoil.org/what-we-do/economic-affairs-promotion-unit/</t>
        </is>
      </c>
      <c r="L6" t="n">
        <v>500000</v>
      </c>
      <c r="M6" t="inlineStr">
        <is>
          <t>Tonnes</t>
        </is>
      </c>
      <c r="N6" t="n">
        <v>2022</v>
      </c>
      <c r="O6" t="inlineStr">
        <is>
          <t>IOC, World Olive Oil Figures, 2022</t>
        </is>
      </c>
      <c r="P6" s="2" t="inlineStr">
        <is>
          <t>assumption</t>
        </is>
      </c>
    </row>
    <row r="7">
      <c r="A7" t="inlineStr">
        <is>
          <t>Driver</t>
        </is>
      </c>
      <c r="B7" t="inlineStr">
        <is>
          <t>Total Olive Oil demand</t>
        </is>
      </c>
      <c r="C7" t="inlineStr">
        <is>
          <t>Italy</t>
        </is>
      </c>
      <c r="D7" t="n">
        <v>1</v>
      </c>
      <c r="E7" t="inlineStr">
        <is>
          <t>Evidence Strategy source</t>
        </is>
      </c>
      <c r="F7" t="inlineStr">
        <is>
          <t>web_page</t>
        </is>
      </c>
      <c r="G7" t="inlineStr">
        <is>
          <t>Italy Apparent domestic consumption of olive oil Tonnes</t>
        </is>
      </c>
      <c r="H7" t="n">
        <v>5</v>
      </c>
      <c r="I7" s="2" t="inlineStr">
        <is>
          <t>no</t>
        </is>
      </c>
      <c r="Q7" t="inlineStr">
        <is>
          <t>extraction_failed</t>
        </is>
      </c>
    </row>
    <row r="8">
      <c r="A8" t="inlineStr">
        <is>
          <t>Driver</t>
        </is>
      </c>
      <c r="B8" t="inlineStr">
        <is>
          <t>Total Olive Oil demand</t>
        </is>
      </c>
      <c r="C8" t="inlineStr">
        <is>
          <t>Italy</t>
        </is>
      </c>
      <c r="D8" t="n">
        <v>2</v>
      </c>
      <c r="E8" t="inlineStr">
        <is>
          <t>International Olive Council (IOC)</t>
        </is>
      </c>
      <c r="F8" t="inlineStr">
        <is>
          <t>pdf</t>
        </is>
      </c>
      <c r="H8" t="n">
        <v>0</v>
      </c>
      <c r="I8" s="2" t="inlineStr">
        <is>
          <t>no</t>
        </is>
      </c>
      <c r="J8" t="inlineStr">
        <is>
          <t>https://www.internationaloliveoil.org/wp-content/uploads/2025/11/Dossier-WOD-EN.pdf</t>
        </is>
      </c>
      <c r="Q8" t="inlineStr">
        <is>
          <t>extraction_failed</t>
        </is>
      </c>
    </row>
    <row r="9">
      <c r="A9" t="inlineStr">
        <is>
          <t>Driver</t>
        </is>
      </c>
      <c r="B9" t="inlineStr">
        <is>
          <t>Total Olive Oil demand</t>
        </is>
      </c>
      <c r="C9" t="inlineStr">
        <is>
          <t>Italy</t>
        </is>
      </c>
      <c r="D9" t="n">
        <v>3</v>
      </c>
      <c r="E9" t="inlineStr">
        <is>
          <t>FAOSTAT (Food and Agriculture Organization of the United Nations)</t>
        </is>
      </c>
      <c r="F9" t="inlineStr">
        <is>
          <t>api</t>
        </is>
      </c>
      <c r="H9" t="n">
        <v>0</v>
      </c>
      <c r="I9" s="2" t="inlineStr">
        <is>
          <t>no</t>
        </is>
      </c>
      <c r="J9" t="inlineStr">
        <is>
          <t>https://fenixservices.fao.org/faostat/api/v1/en/data/FOOD_BALANCE</t>
        </is>
      </c>
      <c r="Q9" t="inlineStr">
        <is>
          <t>network_error</t>
        </is>
      </c>
    </row>
    <row r="10">
      <c r="A10" t="inlineStr">
        <is>
          <t>Driver</t>
        </is>
      </c>
      <c r="B10" t="inlineStr">
        <is>
          <t>Total Olive Oil demand</t>
        </is>
      </c>
      <c r="C10" t="inlineStr">
        <is>
          <t>Italy</t>
        </is>
      </c>
      <c r="D10" t="n">
        <v>4</v>
      </c>
      <c r="E10" t="inlineStr">
        <is>
          <t>UN Comtrade Database</t>
        </is>
      </c>
      <c r="F10" t="inlineStr">
        <is>
          <t>api</t>
        </is>
      </c>
      <c r="H10" t="n">
        <v>0</v>
      </c>
      <c r="I10" s="2" t="inlineStr">
        <is>
          <t>no</t>
        </is>
      </c>
      <c r="J10" t="inlineStr">
        <is>
          <t>https://comtradeapi.un.org/public/v1/preview/C/A/HS</t>
        </is>
      </c>
      <c r="Q10" t="inlineStr">
        <is>
          <t>no_data_for_query</t>
        </is>
      </c>
    </row>
    <row r="11">
      <c r="A11" t="inlineStr">
        <is>
          <t>Driver</t>
        </is>
      </c>
      <c r="B11" t="inlineStr">
        <is>
          <t>Total Olive Oil demand</t>
        </is>
      </c>
      <c r="C11" t="inlineStr">
        <is>
          <t>Italy</t>
        </is>
      </c>
      <c r="D11" t="n">
        <v>5</v>
      </c>
      <c r="E11" t="inlineStr">
        <is>
          <t>International Olive Council (IOC)</t>
        </is>
      </c>
      <c r="F11" t="inlineStr">
        <is>
          <t>llm_claim</t>
        </is>
      </c>
      <c r="H11" t="n">
        <v>0</v>
      </c>
      <c r="I11" s="3" t="inlineStr">
        <is>
          <t>YES</t>
        </is>
      </c>
      <c r="J11" t="inlineStr">
        <is>
          <t>https://www.internationaloliveoil.org/what-we-do/economic-affairs-promotion-unit/</t>
        </is>
      </c>
      <c r="L11" t="n">
        <v>500000</v>
      </c>
      <c r="M11" t="inlineStr">
        <is>
          <t>Tonnes</t>
        </is>
      </c>
      <c r="N11" t="n">
        <v>2022</v>
      </c>
      <c r="O11" t="inlineStr">
        <is>
          <t>IOC, World Olive Oil Figures, 2022</t>
        </is>
      </c>
      <c r="P11" s="2" t="inlineStr">
        <is>
          <t>assumption</t>
        </is>
      </c>
    </row>
    <row r="12">
      <c r="A12" t="inlineStr">
        <is>
          <t>Driver</t>
        </is>
      </c>
      <c r="B12" t="inlineStr">
        <is>
          <t>Total Olive Oil demand</t>
        </is>
      </c>
      <c r="C12" t="inlineStr">
        <is>
          <t>Greece</t>
        </is>
      </c>
      <c r="D12" t="n">
        <v>1</v>
      </c>
      <c r="E12" t="inlineStr">
        <is>
          <t>Evidence Strategy source</t>
        </is>
      </c>
      <c r="F12" t="inlineStr">
        <is>
          <t>web_page</t>
        </is>
      </c>
      <c r="G12" t="inlineStr">
        <is>
          <t>Greece Apparent domestic consumption of olive oil Tonnes</t>
        </is>
      </c>
      <c r="H12" t="n">
        <v>5</v>
      </c>
      <c r="I12" s="2" t="inlineStr">
        <is>
          <t>no</t>
        </is>
      </c>
      <c r="Q12" t="inlineStr">
        <is>
          <t>extraction_failed</t>
        </is>
      </c>
    </row>
    <row r="13">
      <c r="A13" t="inlineStr">
        <is>
          <t>Driver</t>
        </is>
      </c>
      <c r="B13" t="inlineStr">
        <is>
          <t>Total Olive Oil demand</t>
        </is>
      </c>
      <c r="C13" t="inlineStr">
        <is>
          <t>Greece</t>
        </is>
      </c>
      <c r="D13" t="n">
        <v>2</v>
      </c>
      <c r="E13" t="inlineStr">
        <is>
          <t>International Olive Council (IOC)</t>
        </is>
      </c>
      <c r="F13" t="inlineStr">
        <is>
          <t>pdf</t>
        </is>
      </c>
      <c r="H13" t="n">
        <v>0</v>
      </c>
      <c r="I13" s="2" t="inlineStr">
        <is>
          <t>no</t>
        </is>
      </c>
      <c r="J13" t="inlineStr">
        <is>
          <t>https://www.internationaloliveoil.org/sector-statistics-january-2025/</t>
        </is>
      </c>
      <c r="Q13" t="inlineStr">
        <is>
          <t>html_landing_page_not_asset</t>
        </is>
      </c>
    </row>
    <row r="14">
      <c r="A14" t="inlineStr">
        <is>
          <t>Driver</t>
        </is>
      </c>
      <c r="B14" t="inlineStr">
        <is>
          <t>Total Olive Oil demand</t>
        </is>
      </c>
      <c r="C14" t="inlineStr">
        <is>
          <t>Greece</t>
        </is>
      </c>
      <c r="D14" t="n">
        <v>3</v>
      </c>
      <c r="E14" t="inlineStr">
        <is>
          <t>FAOSTAT (Food and Agriculture Organization of the United Nations)</t>
        </is>
      </c>
      <c r="F14" t="inlineStr">
        <is>
          <t>api</t>
        </is>
      </c>
      <c r="H14" t="n">
        <v>0</v>
      </c>
      <c r="I14" s="2" t="inlineStr">
        <is>
          <t>no</t>
        </is>
      </c>
      <c r="J14" t="inlineStr">
        <is>
          <t>https://fenixservices.fao.org/faostat/api/v1/en/data/FOOD_BALANCE</t>
        </is>
      </c>
      <c r="Q14" t="inlineStr">
        <is>
          <t>network_error</t>
        </is>
      </c>
    </row>
    <row r="15">
      <c r="A15" t="inlineStr">
        <is>
          <t>Driver</t>
        </is>
      </c>
      <c r="B15" t="inlineStr">
        <is>
          <t>Total Olive Oil demand</t>
        </is>
      </c>
      <c r="C15" t="inlineStr">
        <is>
          <t>Greece</t>
        </is>
      </c>
      <c r="D15" t="n">
        <v>4</v>
      </c>
      <c r="E15" t="inlineStr">
        <is>
          <t>UN Comtrade Database</t>
        </is>
      </c>
      <c r="F15" t="inlineStr">
        <is>
          <t>api</t>
        </is>
      </c>
      <c r="H15" t="n">
        <v>0</v>
      </c>
      <c r="I15" s="2" t="inlineStr">
        <is>
          <t>no</t>
        </is>
      </c>
      <c r="J15" t="inlineStr">
        <is>
          <t>https://comtradeapi.un.org/public/v1/preview/C/A/HS</t>
        </is>
      </c>
      <c r="Q15" t="inlineStr">
        <is>
          <t>no_data_for_query</t>
        </is>
      </c>
    </row>
    <row r="16">
      <c r="A16" t="inlineStr">
        <is>
          <t>Driver</t>
        </is>
      </c>
      <c r="B16" t="inlineStr">
        <is>
          <t>Total Olive Oil demand</t>
        </is>
      </c>
      <c r="C16" t="inlineStr">
        <is>
          <t>Greece</t>
        </is>
      </c>
      <c r="D16" t="n">
        <v>5</v>
      </c>
      <c r="E16" t="inlineStr">
        <is>
          <t>International Olive Council (IOC)</t>
        </is>
      </c>
      <c r="F16" t="inlineStr">
        <is>
          <t>llm_claim</t>
        </is>
      </c>
      <c r="H16" t="n">
        <v>0</v>
      </c>
      <c r="I16" s="3" t="inlineStr">
        <is>
          <t>YES</t>
        </is>
      </c>
      <c r="J16" t="inlineStr">
        <is>
          <t>https://www.internationaloliveoil.org/what-we-do/economic-affairs-promotion-unit/</t>
        </is>
      </c>
      <c r="L16" t="n">
        <v>250000</v>
      </c>
      <c r="M16" t="inlineStr">
        <is>
          <t>Tonnes</t>
        </is>
      </c>
      <c r="N16" t="n">
        <v>2020</v>
      </c>
      <c r="O16" t="inlineStr">
        <is>
          <t>IOC, World Olive Oil Figures, 2020</t>
        </is>
      </c>
      <c r="P16" s="2" t="inlineStr">
        <is>
          <t>assumption</t>
        </is>
      </c>
    </row>
    <row r="17">
      <c r="A17" t="inlineStr">
        <is>
          <t>Driver</t>
        </is>
      </c>
      <c r="B17" t="inlineStr">
        <is>
          <t>Total Olive Oil demand</t>
        </is>
      </c>
      <c r="C17" t="inlineStr">
        <is>
          <t>Portugal</t>
        </is>
      </c>
      <c r="D17" t="n">
        <v>1</v>
      </c>
      <c r="E17" t="inlineStr">
        <is>
          <t>Evidence Strategy source</t>
        </is>
      </c>
      <c r="F17" t="inlineStr">
        <is>
          <t>web_page</t>
        </is>
      </c>
      <c r="G17" t="inlineStr">
        <is>
          <t>Portugal Apparent domestic consumption of olive oil Tonnes</t>
        </is>
      </c>
      <c r="H17" t="n">
        <v>5</v>
      </c>
      <c r="I17" s="3" t="inlineStr">
        <is>
          <t>YES</t>
        </is>
      </c>
      <c r="J17" t="inlineStr">
        <is>
          <t>https://worldpopulationreview.com/country-rankings/olive-oil-consumption-by-country</t>
        </is>
      </c>
      <c r="L17" t="n">
        <v>61000</v>
      </c>
      <c r="M17" t="inlineStr">
        <is>
          <t>Tonnes</t>
        </is>
      </c>
      <c r="N17" t="n">
        <v>2022</v>
      </c>
      <c r="O17" t="inlineStr">
        <is>
          <t>Portugal 61K</t>
        </is>
      </c>
      <c r="P17" s="3" t="inlineStr">
        <is>
          <t>verified_observed</t>
        </is>
      </c>
    </row>
    <row r="18">
      <c r="A18" t="inlineStr">
        <is>
          <t>Driver</t>
        </is>
      </c>
      <c r="B18" t="inlineStr">
        <is>
          <t>Total Olive Oil demand</t>
        </is>
      </c>
      <c r="C18" t="inlineStr">
        <is>
          <t>Tunisia</t>
        </is>
      </c>
      <c r="D18" t="n">
        <v>1</v>
      </c>
      <c r="E18" t="inlineStr">
        <is>
          <t>Evidence Strategy source</t>
        </is>
      </c>
      <c r="F18" t="inlineStr">
        <is>
          <t>web_page</t>
        </is>
      </c>
      <c r="G18" t="inlineStr">
        <is>
          <t>Tunisia Apparent domestic consumption of olive oil Tonnes</t>
        </is>
      </c>
      <c r="H18" t="n">
        <v>5</v>
      </c>
      <c r="I18" s="3" t="inlineStr">
        <is>
          <t>YES</t>
        </is>
      </c>
      <c r="J18" t="inlineStr">
        <is>
          <t>https://news-tunisia.tunisienumerique.com/ministry-of-agriculture-tunisians-consume-an-average-of-only-3-liters-of-olive-oil-per-year/</t>
        </is>
      </c>
      <c r="L18" t="n">
        <v>50000</v>
      </c>
      <c r="M18" t="inlineStr">
        <is>
          <t>Tonnes</t>
        </is>
      </c>
      <c r="O18" t="inlineStr">
        <is>
          <t>estimates place domestic olive oil consumption between 30,000 and 50,000 tonnes, depending on the price levels recorded in each season. Consumption can reach up to 50,000 tonnes during years marked by abundant national production</t>
        </is>
      </c>
      <c r="P18" s="3" t="inlineStr">
        <is>
          <t>verified_observed</t>
        </is>
      </c>
    </row>
    <row r="19">
      <c r="A19" t="inlineStr">
        <is>
          <t>Driver</t>
        </is>
      </c>
      <c r="B19" t="inlineStr">
        <is>
          <t>Total Olive Oil demand</t>
        </is>
      </c>
      <c r="C19" t="inlineStr">
        <is>
          <t>Turkey</t>
        </is>
      </c>
      <c r="D19" t="n">
        <v>1</v>
      </c>
      <c r="E19" t="inlineStr">
        <is>
          <t>Evidence Strategy source</t>
        </is>
      </c>
      <c r="F19" t="inlineStr">
        <is>
          <t>web_page</t>
        </is>
      </c>
      <c r="G19" t="inlineStr">
        <is>
          <t>Turkey Apparent domestic consumption of olive oil Tonnes</t>
        </is>
      </c>
      <c r="H19" t="n">
        <v>5</v>
      </c>
      <c r="I19" s="2" t="inlineStr">
        <is>
          <t>no</t>
        </is>
      </c>
      <c r="Q19" t="inlineStr">
        <is>
          <t>extraction_failed</t>
        </is>
      </c>
    </row>
    <row r="20">
      <c r="A20" t="inlineStr">
        <is>
          <t>Driver</t>
        </is>
      </c>
      <c r="B20" t="inlineStr">
        <is>
          <t>Total Olive Oil demand</t>
        </is>
      </c>
      <c r="C20" t="inlineStr">
        <is>
          <t>Turkey</t>
        </is>
      </c>
      <c r="D20" t="n">
        <v>2</v>
      </c>
      <c r="E20" t="inlineStr">
        <is>
          <t>International Olive Council (IOC)</t>
        </is>
      </c>
      <c r="F20" t="inlineStr">
        <is>
          <t>pdf</t>
        </is>
      </c>
      <c r="H20" t="n">
        <v>0</v>
      </c>
      <c r="I20" s="2" t="inlineStr">
        <is>
          <t>no</t>
        </is>
      </c>
      <c r="J20" t="inlineStr">
        <is>
          <t>https://www.internationaloliveoil.org/wp-content/uploads/2025/11/Dossier-WOD-EN.pdf</t>
        </is>
      </c>
      <c r="Q20" t="inlineStr">
        <is>
          <t>extraction_failed</t>
        </is>
      </c>
    </row>
    <row r="21">
      <c r="A21" t="inlineStr">
        <is>
          <t>Driver</t>
        </is>
      </c>
      <c r="B21" t="inlineStr">
        <is>
          <t>Total Olive Oil demand</t>
        </is>
      </c>
      <c r="C21" t="inlineStr">
        <is>
          <t>Turkey</t>
        </is>
      </c>
      <c r="D21" t="n">
        <v>3</v>
      </c>
      <c r="E21" t="inlineStr">
        <is>
          <t>FAOSTAT (Food and Agriculture Organization of the United Nations)</t>
        </is>
      </c>
      <c r="F21" t="inlineStr">
        <is>
          <t>api</t>
        </is>
      </c>
      <c r="H21" t="n">
        <v>0</v>
      </c>
      <c r="I21" s="2" t="inlineStr">
        <is>
          <t>no</t>
        </is>
      </c>
      <c r="J21" t="inlineStr">
        <is>
          <t>https://fenixservices.fao.org/faostat/api/v1/en/data/FOOD_BALANCE</t>
        </is>
      </c>
      <c r="Q21" t="inlineStr">
        <is>
          <t>network_error</t>
        </is>
      </c>
    </row>
    <row r="22">
      <c r="A22" t="inlineStr">
        <is>
          <t>Driver</t>
        </is>
      </c>
      <c r="B22" t="inlineStr">
        <is>
          <t>Total Olive Oil demand</t>
        </is>
      </c>
      <c r="C22" t="inlineStr">
        <is>
          <t>Turkey</t>
        </is>
      </c>
      <c r="D22" t="n">
        <v>4</v>
      </c>
      <c r="E22" t="inlineStr">
        <is>
          <t>UN Comtrade Database</t>
        </is>
      </c>
      <c r="F22" t="inlineStr">
        <is>
          <t>api</t>
        </is>
      </c>
      <c r="H22" t="n">
        <v>0</v>
      </c>
      <c r="I22" s="2" t="inlineStr">
        <is>
          <t>no</t>
        </is>
      </c>
      <c r="J22" t="inlineStr">
        <is>
          <t>https://comtradeapi.un.org/public/v1/preview/C/A/HS</t>
        </is>
      </c>
      <c r="Q22" t="inlineStr">
        <is>
          <t>no_data_for_query</t>
        </is>
      </c>
    </row>
    <row r="23">
      <c r="A23" t="inlineStr">
        <is>
          <t>Driver</t>
        </is>
      </c>
      <c r="B23" t="inlineStr">
        <is>
          <t>Total Olive Oil demand</t>
        </is>
      </c>
      <c r="C23" t="inlineStr">
        <is>
          <t>Turkey</t>
        </is>
      </c>
      <c r="D23" t="n">
        <v>5</v>
      </c>
      <c r="E23" t="inlineStr">
        <is>
          <t>International Olive Council (IOC)</t>
        </is>
      </c>
      <c r="F23" t="inlineStr">
        <is>
          <t>llm_claim</t>
        </is>
      </c>
      <c r="H23" t="n">
        <v>0</v>
      </c>
      <c r="I23" s="3" t="inlineStr">
        <is>
          <t>YES</t>
        </is>
      </c>
      <c r="J23" t="inlineStr">
        <is>
          <t>https://www.internationaloliveoil.org/what-we-do/economic-affairs-promotion-unit/</t>
        </is>
      </c>
      <c r="L23" t="n">
        <v>180000</v>
      </c>
      <c r="M23" t="inlineStr">
        <is>
          <t>Tonnes</t>
        </is>
      </c>
      <c r="N23" t="n">
        <v>2022</v>
      </c>
      <c r="O23" t="inlineStr">
        <is>
          <t>IOC, World Olive Oil and Table Olive Figures</t>
        </is>
      </c>
      <c r="P23" s="2" t="inlineStr">
        <is>
          <t>assumption</t>
        </is>
      </c>
    </row>
    <row r="24">
      <c r="A24" t="inlineStr">
        <is>
          <t>Driver</t>
        </is>
      </c>
      <c r="B24" t="inlineStr">
        <is>
          <t>Total Olive Oil demand</t>
        </is>
      </c>
      <c r="C24" t="inlineStr">
        <is>
          <t>Morocco</t>
        </is>
      </c>
      <c r="D24" t="n">
        <v>1</v>
      </c>
      <c r="E24" t="inlineStr">
        <is>
          <t>Evidence Strategy source</t>
        </is>
      </c>
      <c r="F24" t="inlineStr">
        <is>
          <t>web_page</t>
        </is>
      </c>
      <c r="G24" t="inlineStr">
        <is>
          <t>Morocco Apparent domestic consumption of olive oil Tonnes</t>
        </is>
      </c>
      <c r="H24" t="n">
        <v>5</v>
      </c>
      <c r="I24" s="2" t="inlineStr">
        <is>
          <t>no</t>
        </is>
      </c>
      <c r="Q24" t="inlineStr">
        <is>
          <t>extraction_failed</t>
        </is>
      </c>
    </row>
    <row r="25">
      <c r="A25" t="inlineStr">
        <is>
          <t>Driver</t>
        </is>
      </c>
      <c r="B25" t="inlineStr">
        <is>
          <t>Total Olive Oil demand</t>
        </is>
      </c>
      <c r="C25" t="inlineStr">
        <is>
          <t>Morocco</t>
        </is>
      </c>
      <c r="D25" t="n">
        <v>2</v>
      </c>
      <c r="E25" t="inlineStr">
        <is>
          <t>International Olive Council (IOC)</t>
        </is>
      </c>
      <c r="F25" t="inlineStr">
        <is>
          <t>pdf</t>
        </is>
      </c>
      <c r="H25" t="n">
        <v>0</v>
      </c>
      <c r="I25" s="2" t="inlineStr">
        <is>
          <t>no</t>
        </is>
      </c>
      <c r="J25" t="inlineStr">
        <is>
          <t>https://www.internationaloliveoil.org/olive-sector-statistics-march-2025/</t>
        </is>
      </c>
      <c r="Q25" t="inlineStr">
        <is>
          <t>html_landing_page_not_asset</t>
        </is>
      </c>
    </row>
    <row r="26">
      <c r="A26" t="inlineStr">
        <is>
          <t>Driver</t>
        </is>
      </c>
      <c r="B26" t="inlineStr">
        <is>
          <t>Total Olive Oil demand</t>
        </is>
      </c>
      <c r="C26" t="inlineStr">
        <is>
          <t>Morocco</t>
        </is>
      </c>
      <c r="D26" t="n">
        <v>3</v>
      </c>
      <c r="E26" t="inlineStr">
        <is>
          <t>FAOSTAT (Food and Agriculture Organization of the United Nations)</t>
        </is>
      </c>
      <c r="F26" t="inlineStr">
        <is>
          <t>api</t>
        </is>
      </c>
      <c r="H26" t="n">
        <v>0</v>
      </c>
      <c r="I26" s="2" t="inlineStr">
        <is>
          <t>no</t>
        </is>
      </c>
      <c r="J26" t="inlineStr">
        <is>
          <t>https://fenixservices.fao.org/faostat/api/v1/en/data/FOOD_BALANCE</t>
        </is>
      </c>
      <c r="Q26" t="inlineStr">
        <is>
          <t>network_error</t>
        </is>
      </c>
    </row>
    <row r="27">
      <c r="A27" t="inlineStr">
        <is>
          <t>Driver</t>
        </is>
      </c>
      <c r="B27" t="inlineStr">
        <is>
          <t>Total Olive Oil demand</t>
        </is>
      </c>
      <c r="C27" t="inlineStr">
        <is>
          <t>Morocco</t>
        </is>
      </c>
      <c r="D27" t="n">
        <v>4</v>
      </c>
      <c r="E27" t="inlineStr">
        <is>
          <t>UN Comtrade Database</t>
        </is>
      </c>
      <c r="F27" t="inlineStr">
        <is>
          <t>api</t>
        </is>
      </c>
      <c r="H27" t="n">
        <v>0</v>
      </c>
      <c r="I27" s="2" t="inlineStr">
        <is>
          <t>no</t>
        </is>
      </c>
      <c r="J27" t="inlineStr">
        <is>
          <t>https://comtradeapi.un.org/public/v1/preview/C/A/HS</t>
        </is>
      </c>
      <c r="Q27" t="inlineStr">
        <is>
          <t>no_data_for_query</t>
        </is>
      </c>
    </row>
    <row r="28">
      <c r="A28" t="inlineStr">
        <is>
          <t>Driver</t>
        </is>
      </c>
      <c r="B28" t="inlineStr">
        <is>
          <t>Total Olive Oil demand</t>
        </is>
      </c>
      <c r="C28" t="inlineStr">
        <is>
          <t>Morocco</t>
        </is>
      </c>
      <c r="D28" t="n">
        <v>5</v>
      </c>
      <c r="E28" t="inlineStr">
        <is>
          <t>International Olive Council (IOC)</t>
        </is>
      </c>
      <c r="F28" t="inlineStr">
        <is>
          <t>llm_claim</t>
        </is>
      </c>
      <c r="H28" t="n">
        <v>0</v>
      </c>
      <c r="I28" s="3" t="inlineStr">
        <is>
          <t>YES</t>
        </is>
      </c>
      <c r="J28" t="inlineStr">
        <is>
          <t>https://www.internationaloliveoil.org/what-we-do/economic-affairs-promotion-unit/#figures</t>
        </is>
      </c>
      <c r="L28" t="n">
        <v>120000</v>
      </c>
      <c r="M28" t="inlineStr">
        <is>
          <t>Tonnes</t>
        </is>
      </c>
      <c r="N28" t="n">
        <v>2022</v>
      </c>
      <c r="O28" t="inlineStr">
        <is>
          <t>IOC, World Olive Oil Figures, 2022</t>
        </is>
      </c>
      <c r="P28" s="2" t="inlineStr">
        <is>
          <t>assumption</t>
        </is>
      </c>
    </row>
    <row r="29">
      <c r="A29" t="inlineStr">
        <is>
          <t>Driver</t>
        </is>
      </c>
      <c r="B29" t="inlineStr">
        <is>
          <t>Total Olive Oil demand</t>
        </is>
      </c>
      <c r="C29" t="inlineStr">
        <is>
          <t>United States</t>
        </is>
      </c>
      <c r="D29" t="n">
        <v>1</v>
      </c>
      <c r="E29" t="inlineStr">
        <is>
          <t>Evidence Strategy source</t>
        </is>
      </c>
      <c r="F29" t="inlineStr">
        <is>
          <t>web_page</t>
        </is>
      </c>
      <c r="G29" t="inlineStr">
        <is>
          <t>United States Apparent domestic consumption of olive oil Tonnes</t>
        </is>
      </c>
      <c r="H29" t="n">
        <v>5</v>
      </c>
      <c r="I29" s="3" t="inlineStr">
        <is>
          <t>YES</t>
        </is>
      </c>
      <c r="J29" t="inlineStr">
        <is>
          <t>https://worldpopulationreview.com/country-rankings/olive-oil-consumption-by-country</t>
        </is>
      </c>
      <c r="L29" t="n">
        <v>381000</v>
      </c>
      <c r="M29" t="inlineStr">
        <is>
          <t>Tonnes</t>
        </is>
      </c>
      <c r="N29" t="n">
        <v>2022</v>
      </c>
      <c r="O29" t="inlineStr">
        <is>
          <t>United States 381K tonnes</t>
        </is>
      </c>
      <c r="P29" s="3" t="inlineStr">
        <is>
          <t>verified_observed</t>
        </is>
      </c>
    </row>
    <row r="30">
      <c r="A30" t="inlineStr">
        <is>
          <t>Driver</t>
        </is>
      </c>
      <c r="B30" t="inlineStr">
        <is>
          <t>Total Olive Oil demand</t>
        </is>
      </c>
      <c r="C30" t="inlineStr">
        <is>
          <t>France</t>
        </is>
      </c>
      <c r="D30" t="n">
        <v>1</v>
      </c>
      <c r="E30" t="inlineStr">
        <is>
          <t>Evidence Strategy source</t>
        </is>
      </c>
      <c r="F30" t="inlineStr">
        <is>
          <t>web_page</t>
        </is>
      </c>
      <c r="G30" t="inlineStr">
        <is>
          <t>France Apparent domestic consumption of olive oil Tonnes</t>
        </is>
      </c>
      <c r="H30" t="n">
        <v>5</v>
      </c>
      <c r="I30" s="2" t="inlineStr">
        <is>
          <t>no</t>
        </is>
      </c>
      <c r="Q30" t="inlineStr">
        <is>
          <t>unit_mismatch</t>
        </is>
      </c>
    </row>
    <row r="31">
      <c r="A31" t="inlineStr">
        <is>
          <t>Driver</t>
        </is>
      </c>
      <c r="B31" t="inlineStr">
        <is>
          <t>Total Olive Oil demand</t>
        </is>
      </c>
      <c r="C31" t="inlineStr">
        <is>
          <t>France</t>
        </is>
      </c>
      <c r="D31" t="n">
        <v>2</v>
      </c>
      <c r="E31" t="inlineStr">
        <is>
          <t>International Olive Council (IOC)</t>
        </is>
      </c>
      <c r="F31" t="inlineStr">
        <is>
          <t>pdf</t>
        </is>
      </c>
      <c r="H31" t="n">
        <v>0</v>
      </c>
      <c r="I31" s="2" t="inlineStr">
        <is>
          <t>no</t>
        </is>
      </c>
      <c r="J31" t="inlineStr">
        <is>
          <t>https://www.internationaloliveoil.org/wp-content/uploads/2025/12/122-HO-2025.pdf</t>
        </is>
      </c>
      <c r="Q31" t="inlineStr">
        <is>
          <t>extraction_failed</t>
        </is>
      </c>
    </row>
    <row r="32">
      <c r="A32" t="inlineStr">
        <is>
          <t>Driver</t>
        </is>
      </c>
      <c r="B32" t="inlineStr">
        <is>
          <t>Total Olive Oil demand</t>
        </is>
      </c>
      <c r="C32" t="inlineStr">
        <is>
          <t>France</t>
        </is>
      </c>
      <c r="D32" t="n">
        <v>3</v>
      </c>
      <c r="E32" t="inlineStr">
        <is>
          <t>FAOSTAT (Food and Agriculture Organization of the United Nations)</t>
        </is>
      </c>
      <c r="F32" t="inlineStr">
        <is>
          <t>api</t>
        </is>
      </c>
      <c r="H32" t="n">
        <v>0</v>
      </c>
      <c r="I32" s="2" t="inlineStr">
        <is>
          <t>no</t>
        </is>
      </c>
      <c r="J32" t="inlineStr">
        <is>
          <t>https://fenixservices.fao.org/faostat/api/v1/en/data/FOOD_BALANCE</t>
        </is>
      </c>
      <c r="Q32" t="inlineStr">
        <is>
          <t>network_error</t>
        </is>
      </c>
    </row>
    <row r="33">
      <c r="A33" t="inlineStr">
        <is>
          <t>Driver</t>
        </is>
      </c>
      <c r="B33" t="inlineStr">
        <is>
          <t>Total Olive Oil demand</t>
        </is>
      </c>
      <c r="C33" t="inlineStr">
        <is>
          <t>France</t>
        </is>
      </c>
      <c r="D33" t="n">
        <v>4</v>
      </c>
      <c r="E33" t="inlineStr">
        <is>
          <t>UN Comtrade Database</t>
        </is>
      </c>
      <c r="F33" t="inlineStr">
        <is>
          <t>api</t>
        </is>
      </c>
      <c r="H33" t="n">
        <v>0</v>
      </c>
      <c r="I33" s="2" t="inlineStr">
        <is>
          <t>no</t>
        </is>
      </c>
      <c r="J33" t="inlineStr">
        <is>
          <t>https://comtradeapi.un.org/public/v1/preview/C/A/HS</t>
        </is>
      </c>
      <c r="Q33" t="inlineStr">
        <is>
          <t>no_data_for_query</t>
        </is>
      </c>
    </row>
    <row r="34">
      <c r="A34" t="inlineStr">
        <is>
          <t>Driver</t>
        </is>
      </c>
      <c r="B34" t="inlineStr">
        <is>
          <t>Total Olive Oil demand</t>
        </is>
      </c>
      <c r="C34" t="inlineStr">
        <is>
          <t>France</t>
        </is>
      </c>
      <c r="D34" t="n">
        <v>5</v>
      </c>
      <c r="E34" t="inlineStr">
        <is>
          <t>International Olive Council (IOC)</t>
        </is>
      </c>
      <c r="F34" t="inlineStr">
        <is>
          <t>llm_claim</t>
        </is>
      </c>
      <c r="H34" t="n">
        <v>0</v>
      </c>
      <c r="I34" s="3" t="inlineStr">
        <is>
          <t>YES</t>
        </is>
      </c>
      <c r="J34" t="inlineStr">
        <is>
          <t>https://www.internationaloliveoil.org/what-we-do/economic-affairs-promotion-unit/#figures</t>
        </is>
      </c>
      <c r="L34" t="n">
        <v>110000</v>
      </c>
      <c r="M34" t="inlineStr">
        <is>
          <t>Tonnes</t>
        </is>
      </c>
      <c r="N34" t="n">
        <v>2022</v>
      </c>
      <c r="O34" t="inlineStr">
        <is>
          <t>IOC, World Olive Oil Figures, 2022</t>
        </is>
      </c>
      <c r="P34" s="2" t="inlineStr">
        <is>
          <t>assumption</t>
        </is>
      </c>
    </row>
    <row r="35">
      <c r="A35" t="inlineStr">
        <is>
          <t>Driver</t>
        </is>
      </c>
      <c r="B35" t="inlineStr">
        <is>
          <t>Total Olive Oil demand</t>
        </is>
      </c>
      <c r="C35" t="inlineStr">
        <is>
          <t>Germany</t>
        </is>
      </c>
      <c r="D35" t="n">
        <v>1</v>
      </c>
      <c r="E35" t="inlineStr">
        <is>
          <t>Evidence Strategy source</t>
        </is>
      </c>
      <c r="F35" t="inlineStr">
        <is>
          <t>web_page</t>
        </is>
      </c>
      <c r="G35" t="inlineStr">
        <is>
          <t>Germany Apparent domestic consumption of olive oil Tonnes</t>
        </is>
      </c>
      <c r="H35" t="n">
        <v>5</v>
      </c>
      <c r="I35" s="2" t="inlineStr">
        <is>
          <t>no</t>
        </is>
      </c>
      <c r="Q35" t="inlineStr">
        <is>
          <t>extraction_failed</t>
        </is>
      </c>
    </row>
    <row r="36">
      <c r="A36" t="inlineStr">
        <is>
          <t>Driver</t>
        </is>
      </c>
      <c r="B36" t="inlineStr">
        <is>
          <t>Total Olive Oil demand</t>
        </is>
      </c>
      <c r="C36" t="inlineStr">
        <is>
          <t>Germany</t>
        </is>
      </c>
      <c r="D36" t="n">
        <v>2</v>
      </c>
      <c r="E36" t="inlineStr">
        <is>
          <t>International Olive Council (IOC)</t>
        </is>
      </c>
      <c r="F36" t="inlineStr">
        <is>
          <t>pdf</t>
        </is>
      </c>
      <c r="H36" t="n">
        <v>0</v>
      </c>
      <c r="I36" s="2" t="inlineStr">
        <is>
          <t>no</t>
        </is>
      </c>
      <c r="J36" t="inlineStr">
        <is>
          <t>https://www.internationaloliveoil.org/wp-content/uploads/2025/11/Dossier-WOD-EN.pdf</t>
        </is>
      </c>
      <c r="Q36" t="inlineStr">
        <is>
          <t>extraction_failed</t>
        </is>
      </c>
    </row>
    <row r="37">
      <c r="A37" t="inlineStr">
        <is>
          <t>Driver</t>
        </is>
      </c>
      <c r="B37" t="inlineStr">
        <is>
          <t>Total Olive Oil demand</t>
        </is>
      </c>
      <c r="C37" t="inlineStr">
        <is>
          <t>Germany</t>
        </is>
      </c>
      <c r="D37" t="n">
        <v>3</v>
      </c>
      <c r="E37" t="inlineStr">
        <is>
          <t>FAOSTAT (Food and Agriculture Organization of the United Nations)</t>
        </is>
      </c>
      <c r="F37" t="inlineStr">
        <is>
          <t>api</t>
        </is>
      </c>
      <c r="H37" t="n">
        <v>0</v>
      </c>
      <c r="I37" s="2" t="inlineStr">
        <is>
          <t>no</t>
        </is>
      </c>
      <c r="J37" t="inlineStr">
        <is>
          <t>https://fenixservices.fao.org/faostat/api/v1/en/data/FOOD_BALANCE</t>
        </is>
      </c>
      <c r="Q37" t="inlineStr">
        <is>
          <t>network_error</t>
        </is>
      </c>
    </row>
    <row r="38">
      <c r="A38" t="inlineStr">
        <is>
          <t>Driver</t>
        </is>
      </c>
      <c r="B38" t="inlineStr">
        <is>
          <t>Total Olive Oil demand</t>
        </is>
      </c>
      <c r="C38" t="inlineStr">
        <is>
          <t>Germany</t>
        </is>
      </c>
      <c r="D38" t="n">
        <v>4</v>
      </c>
      <c r="E38" t="inlineStr">
        <is>
          <t>UN Comtrade Database</t>
        </is>
      </c>
      <c r="F38" t="inlineStr">
        <is>
          <t>api</t>
        </is>
      </c>
      <c r="H38" t="n">
        <v>0</v>
      </c>
      <c r="I38" s="2" t="inlineStr">
        <is>
          <t>no</t>
        </is>
      </c>
      <c r="J38" t="inlineStr">
        <is>
          <t>https://comtradeapi.un.org/public/v1/preview/C/A/HS</t>
        </is>
      </c>
      <c r="Q38" t="inlineStr">
        <is>
          <t>no_data_for_query</t>
        </is>
      </c>
    </row>
    <row r="39">
      <c r="A39" t="inlineStr">
        <is>
          <t>Driver</t>
        </is>
      </c>
      <c r="B39" t="inlineStr">
        <is>
          <t>Total Olive Oil demand</t>
        </is>
      </c>
      <c r="C39" t="inlineStr">
        <is>
          <t>Germany</t>
        </is>
      </c>
      <c r="D39" t="n">
        <v>5</v>
      </c>
      <c r="E39" t="inlineStr">
        <is>
          <t>International Olive Council (IOC)</t>
        </is>
      </c>
      <c r="F39" t="inlineStr">
        <is>
          <t>llm_claim</t>
        </is>
      </c>
      <c r="H39" t="n">
        <v>0</v>
      </c>
      <c r="I39" s="3" t="inlineStr">
        <is>
          <t>YES</t>
        </is>
      </c>
      <c r="J39" t="inlineStr">
        <is>
          <t>https://www.internationaloliveoil.org/what-we-do/economic-affairs-promotion-unit/</t>
        </is>
      </c>
      <c r="L39" t="n">
        <v>70000</v>
      </c>
      <c r="M39" t="inlineStr">
        <is>
          <t>Tonnes</t>
        </is>
      </c>
      <c r="N39" t="n">
        <v>2020</v>
      </c>
      <c r="O39" t="inlineStr">
        <is>
          <t>IOC, World Olive Oil Figures, 2020</t>
        </is>
      </c>
      <c r="P39" s="2" t="inlineStr">
        <is>
          <t>assumption</t>
        </is>
      </c>
    </row>
    <row r="40">
      <c r="A40" t="inlineStr">
        <is>
          <t>Driver</t>
        </is>
      </c>
      <c r="B40" t="inlineStr">
        <is>
          <t>Total Olive Oil demand</t>
        </is>
      </c>
      <c r="C40" t="inlineStr">
        <is>
          <t>United Kingdom</t>
        </is>
      </c>
      <c r="D40" t="n">
        <v>1</v>
      </c>
      <c r="E40" t="inlineStr">
        <is>
          <t>Evidence Strategy source</t>
        </is>
      </c>
      <c r="F40" t="inlineStr">
        <is>
          <t>web_page</t>
        </is>
      </c>
      <c r="G40" t="inlineStr">
        <is>
          <t>United Kingdom Apparent domestic consumption of olive oil Tonnes</t>
        </is>
      </c>
      <c r="H40" t="n">
        <v>5</v>
      </c>
      <c r="I40" s="2" t="inlineStr">
        <is>
          <t>no</t>
        </is>
      </c>
      <c r="Q40" t="inlineStr">
        <is>
          <t>extraction_failed</t>
        </is>
      </c>
    </row>
    <row r="41">
      <c r="A41" t="inlineStr">
        <is>
          <t>Driver</t>
        </is>
      </c>
      <c r="B41" t="inlineStr">
        <is>
          <t>Total Olive Oil demand</t>
        </is>
      </c>
      <c r="C41" t="inlineStr">
        <is>
          <t>United Kingdom</t>
        </is>
      </c>
      <c r="D41" t="n">
        <v>2</v>
      </c>
      <c r="E41" t="inlineStr">
        <is>
          <t>International Olive Council (IOC)</t>
        </is>
      </c>
      <c r="F41" t="inlineStr">
        <is>
          <t>pdf</t>
        </is>
      </c>
      <c r="H41" t="n">
        <v>0</v>
      </c>
      <c r="I41" s="2" t="inlineStr">
        <is>
          <t>no</t>
        </is>
      </c>
      <c r="J41" t="inlineStr">
        <is>
          <t>https://www.internationaloliveoil.org/sector-statistics-january-2025/</t>
        </is>
      </c>
      <c r="Q41" t="inlineStr">
        <is>
          <t>html_landing_page_not_asset</t>
        </is>
      </c>
    </row>
    <row r="42">
      <c r="A42" t="inlineStr">
        <is>
          <t>Driver</t>
        </is>
      </c>
      <c r="B42" t="inlineStr">
        <is>
          <t>Total Olive Oil demand</t>
        </is>
      </c>
      <c r="C42" t="inlineStr">
        <is>
          <t>United Kingdom</t>
        </is>
      </c>
      <c r="D42" t="n">
        <v>3</v>
      </c>
      <c r="E42" t="inlineStr">
        <is>
          <t>FAOSTAT (Food and Agriculture Organization of the United Nations)</t>
        </is>
      </c>
      <c r="F42" t="inlineStr">
        <is>
          <t>api</t>
        </is>
      </c>
      <c r="H42" t="n">
        <v>0</v>
      </c>
      <c r="I42" s="2" t="inlineStr">
        <is>
          <t>no</t>
        </is>
      </c>
      <c r="J42" t="inlineStr">
        <is>
          <t>https://fenixservices.fao.org/faostat/api/v1/en/data/FOOD_BALANCE</t>
        </is>
      </c>
      <c r="Q42" t="inlineStr">
        <is>
          <t>network_error</t>
        </is>
      </c>
    </row>
    <row r="43">
      <c r="A43" t="inlineStr">
        <is>
          <t>Driver</t>
        </is>
      </c>
      <c r="B43" t="inlineStr">
        <is>
          <t>Total Olive Oil demand</t>
        </is>
      </c>
      <c r="C43" t="inlineStr">
        <is>
          <t>United Kingdom</t>
        </is>
      </c>
      <c r="D43" t="n">
        <v>4</v>
      </c>
      <c r="E43" t="inlineStr">
        <is>
          <t>UN Comtrade Database</t>
        </is>
      </c>
      <c r="F43" t="inlineStr">
        <is>
          <t>api</t>
        </is>
      </c>
      <c r="H43" t="n">
        <v>0</v>
      </c>
      <c r="I43" s="2" t="inlineStr">
        <is>
          <t>no</t>
        </is>
      </c>
      <c r="J43" t="inlineStr">
        <is>
          <t>https://comtradeapi.un.org/public/v1/preview/C/A/HS</t>
        </is>
      </c>
      <c r="Q43" t="inlineStr">
        <is>
          <t>no_data_for_query</t>
        </is>
      </c>
    </row>
    <row r="44">
      <c r="A44" t="inlineStr">
        <is>
          <t>Driver</t>
        </is>
      </c>
      <c r="B44" t="inlineStr">
        <is>
          <t>Total Olive Oil demand</t>
        </is>
      </c>
      <c r="C44" t="inlineStr">
        <is>
          <t>United Kingdom</t>
        </is>
      </c>
      <c r="D44" t="n">
        <v>5</v>
      </c>
      <c r="E44" t="inlineStr">
        <is>
          <t>International Olive Council (IOC)</t>
        </is>
      </c>
      <c r="F44" t="inlineStr">
        <is>
          <t>llm_claim</t>
        </is>
      </c>
      <c r="H44" t="n">
        <v>0</v>
      </c>
      <c r="I44" s="3" t="inlineStr">
        <is>
          <t>YES</t>
        </is>
      </c>
      <c r="J44" t="inlineStr">
        <is>
          <t>https://www.internationaloliveoil.org/what-we-do/economic-affairs-promotion-unit/</t>
        </is>
      </c>
      <c r="L44" t="n">
        <v>75000</v>
      </c>
      <c r="M44" t="inlineStr">
        <is>
          <t>Tonnes</t>
        </is>
      </c>
      <c r="N44" t="n">
        <v>2022</v>
      </c>
      <c r="O44" t="inlineStr">
        <is>
          <t>IOC, World Olive Oil Figures</t>
        </is>
      </c>
      <c r="P44" s="2" t="inlineStr">
        <is>
          <t>assumption</t>
        </is>
      </c>
    </row>
    <row r="45">
      <c r="A45" t="inlineStr">
        <is>
          <t>Driver</t>
        </is>
      </c>
      <c r="B45" t="inlineStr">
        <is>
          <t>Total Olive Oil demand</t>
        </is>
      </c>
      <c r="C45" t="inlineStr">
        <is>
          <t>Brazil</t>
        </is>
      </c>
      <c r="D45" t="n">
        <v>1</v>
      </c>
      <c r="E45" t="inlineStr">
        <is>
          <t>Evidence Strategy source</t>
        </is>
      </c>
      <c r="F45" t="inlineStr">
        <is>
          <t>web_page</t>
        </is>
      </c>
      <c r="G45" t="inlineStr">
        <is>
          <t>Brazil Apparent domestic consumption of olive oil Tonnes</t>
        </is>
      </c>
      <c r="H45" t="n">
        <v>5</v>
      </c>
      <c r="I45" s="2" t="inlineStr">
        <is>
          <t>no</t>
        </is>
      </c>
      <c r="Q45" t="inlineStr">
        <is>
          <t>extraction_failed</t>
        </is>
      </c>
    </row>
    <row r="46">
      <c r="A46" t="inlineStr">
        <is>
          <t>Driver</t>
        </is>
      </c>
      <c r="B46" t="inlineStr">
        <is>
          <t>Total Olive Oil demand</t>
        </is>
      </c>
      <c r="C46" t="inlineStr">
        <is>
          <t>Brazil</t>
        </is>
      </c>
      <c r="D46" t="n">
        <v>2</v>
      </c>
      <c r="E46" t="inlineStr">
        <is>
          <t>International Olive Council (IOC)</t>
        </is>
      </c>
      <c r="F46" t="inlineStr">
        <is>
          <t>pdf</t>
        </is>
      </c>
      <c r="H46" t="n">
        <v>0</v>
      </c>
      <c r="I46" s="2" t="inlineStr">
        <is>
          <t>no</t>
        </is>
      </c>
      <c r="J46" t="inlineStr">
        <is>
          <t>https://www.internationaloliveoil.org/olive-sector-statistics-march-2025/</t>
        </is>
      </c>
      <c r="Q46" t="inlineStr">
        <is>
          <t>html_landing_page_not_asset</t>
        </is>
      </c>
    </row>
    <row r="47">
      <c r="A47" t="inlineStr">
        <is>
          <t>Driver</t>
        </is>
      </c>
      <c r="B47" t="inlineStr">
        <is>
          <t>Total Olive Oil demand</t>
        </is>
      </c>
      <c r="C47" t="inlineStr">
        <is>
          <t>Brazil</t>
        </is>
      </c>
      <c r="D47" t="n">
        <v>3</v>
      </c>
      <c r="E47" t="inlineStr">
        <is>
          <t>FAOSTAT (Food and Agriculture Organization of the United Nations)</t>
        </is>
      </c>
      <c r="F47" t="inlineStr">
        <is>
          <t>api</t>
        </is>
      </c>
      <c r="H47" t="n">
        <v>0</v>
      </c>
      <c r="I47" s="2" t="inlineStr">
        <is>
          <t>no</t>
        </is>
      </c>
      <c r="J47" t="inlineStr">
        <is>
          <t>https://fenixservices.fao.org/faostat/api/v1/en/data/FOOD_BALANCE</t>
        </is>
      </c>
      <c r="Q47" t="inlineStr">
        <is>
          <t>network_error</t>
        </is>
      </c>
    </row>
    <row r="48">
      <c r="A48" t="inlineStr">
        <is>
          <t>Driver</t>
        </is>
      </c>
      <c r="B48" t="inlineStr">
        <is>
          <t>Total Olive Oil demand</t>
        </is>
      </c>
      <c r="C48" t="inlineStr">
        <is>
          <t>Brazil</t>
        </is>
      </c>
      <c r="D48" t="n">
        <v>4</v>
      </c>
      <c r="E48" t="inlineStr">
        <is>
          <t>UN Comtrade Database</t>
        </is>
      </c>
      <c r="F48" t="inlineStr">
        <is>
          <t>api</t>
        </is>
      </c>
      <c r="H48" t="n">
        <v>0</v>
      </c>
      <c r="I48" s="2" t="inlineStr">
        <is>
          <t>no</t>
        </is>
      </c>
      <c r="J48" t="inlineStr">
        <is>
          <t>https://comtradeapi.un.org/public/v1/preview/C/A/HS</t>
        </is>
      </c>
      <c r="Q48" t="inlineStr">
        <is>
          <t>no_data_for_query</t>
        </is>
      </c>
    </row>
    <row r="49">
      <c r="A49" t="inlineStr">
        <is>
          <t>Driver</t>
        </is>
      </c>
      <c r="B49" t="inlineStr">
        <is>
          <t>Total Olive Oil demand</t>
        </is>
      </c>
      <c r="C49" t="inlineStr">
        <is>
          <t>Brazil</t>
        </is>
      </c>
      <c r="D49" t="n">
        <v>5</v>
      </c>
      <c r="E49" t="inlineStr">
        <is>
          <t>International Olive Council (IOC)</t>
        </is>
      </c>
      <c r="F49" t="inlineStr">
        <is>
          <t>llm_claim</t>
        </is>
      </c>
      <c r="H49" t="n">
        <v>0</v>
      </c>
      <c r="I49" s="3" t="inlineStr">
        <is>
          <t>YES</t>
        </is>
      </c>
      <c r="J49" t="inlineStr">
        <is>
          <t>https://www.internationaloliveoil.org/what-we-do/economic-affairs-promotion-unit/</t>
        </is>
      </c>
      <c r="L49" t="n">
        <v>100000</v>
      </c>
      <c r="M49" t="inlineStr">
        <is>
          <t>Tonnes</t>
        </is>
      </c>
      <c r="N49" t="n">
        <v>2022</v>
      </c>
      <c r="O49" t="inlineStr">
        <is>
          <t>IOC, World Olive Oil and Table Olive Figures</t>
        </is>
      </c>
      <c r="P49" s="2" t="inlineStr">
        <is>
          <t>assumption</t>
        </is>
      </c>
    </row>
    <row r="50">
      <c r="A50" t="inlineStr">
        <is>
          <t>Driver</t>
        </is>
      </c>
      <c r="B50" t="inlineStr">
        <is>
          <t>Total Olive Oil demand</t>
        </is>
      </c>
      <c r="C50" t="inlineStr">
        <is>
          <t>Japan</t>
        </is>
      </c>
      <c r="D50" t="n">
        <v>1</v>
      </c>
      <c r="E50" t="inlineStr">
        <is>
          <t>Evidence Strategy source</t>
        </is>
      </c>
      <c r="F50" t="inlineStr">
        <is>
          <t>web_page</t>
        </is>
      </c>
      <c r="G50" t="inlineStr">
        <is>
          <t>Japan Apparent domestic consumption of olive oil Tonnes</t>
        </is>
      </c>
      <c r="H50" t="n">
        <v>5</v>
      </c>
      <c r="I50" s="2" t="inlineStr">
        <is>
          <t>no</t>
        </is>
      </c>
      <c r="Q50" t="inlineStr">
        <is>
          <t>extraction_failed</t>
        </is>
      </c>
    </row>
    <row r="51">
      <c r="A51" t="inlineStr">
        <is>
          <t>Driver</t>
        </is>
      </c>
      <c r="B51" t="inlineStr">
        <is>
          <t>Total Olive Oil demand</t>
        </is>
      </c>
      <c r="C51" t="inlineStr">
        <is>
          <t>Japan</t>
        </is>
      </c>
      <c r="D51" t="n">
        <v>2</v>
      </c>
      <c r="E51" t="inlineStr">
        <is>
          <t>International Olive Council (IOC)</t>
        </is>
      </c>
      <c r="F51" t="inlineStr">
        <is>
          <t>pdf</t>
        </is>
      </c>
      <c r="H51" t="n">
        <v>0</v>
      </c>
      <c r="I51" s="2" t="inlineStr">
        <is>
          <t>no</t>
        </is>
      </c>
      <c r="J51" t="inlineStr">
        <is>
          <t>https://www.internationaloliveoil.org/olive-sector-statistics-march-2025/</t>
        </is>
      </c>
      <c r="Q51" t="inlineStr">
        <is>
          <t>html_landing_page_not_asset</t>
        </is>
      </c>
    </row>
    <row r="52">
      <c r="A52" t="inlineStr">
        <is>
          <t>Driver</t>
        </is>
      </c>
      <c r="B52" t="inlineStr">
        <is>
          <t>Total Olive Oil demand</t>
        </is>
      </c>
      <c r="C52" t="inlineStr">
        <is>
          <t>Japan</t>
        </is>
      </c>
      <c r="D52" t="n">
        <v>3</v>
      </c>
      <c r="E52" t="inlineStr">
        <is>
          <t>FAOSTAT (Food and Agriculture Organization of the United Nations)</t>
        </is>
      </c>
      <c r="F52" t="inlineStr">
        <is>
          <t>api</t>
        </is>
      </c>
      <c r="H52" t="n">
        <v>0</v>
      </c>
      <c r="I52" s="2" t="inlineStr">
        <is>
          <t>no</t>
        </is>
      </c>
      <c r="J52" t="inlineStr">
        <is>
          <t>https://fenixservices.fao.org/faostat/api/v1/en/data/FOOD_BALANCE</t>
        </is>
      </c>
      <c r="Q52" t="inlineStr">
        <is>
          <t>network_error</t>
        </is>
      </c>
    </row>
    <row r="53">
      <c r="A53" t="inlineStr">
        <is>
          <t>Driver</t>
        </is>
      </c>
      <c r="B53" t="inlineStr">
        <is>
          <t>Total Olive Oil demand</t>
        </is>
      </c>
      <c r="C53" t="inlineStr">
        <is>
          <t>Japan</t>
        </is>
      </c>
      <c r="D53" t="n">
        <v>4</v>
      </c>
      <c r="E53" t="inlineStr">
        <is>
          <t>UN Comtrade Database</t>
        </is>
      </c>
      <c r="F53" t="inlineStr">
        <is>
          <t>api</t>
        </is>
      </c>
      <c r="H53" t="n">
        <v>0</v>
      </c>
      <c r="I53" s="2" t="inlineStr">
        <is>
          <t>no</t>
        </is>
      </c>
      <c r="J53" t="inlineStr">
        <is>
          <t>https://comtradeapi.un.org/public/v1/preview/C/A/HS</t>
        </is>
      </c>
      <c r="Q53" t="inlineStr">
        <is>
          <t>no_data_for_query</t>
        </is>
      </c>
    </row>
    <row r="54">
      <c r="A54" t="inlineStr">
        <is>
          <t>Driver</t>
        </is>
      </c>
      <c r="B54" t="inlineStr">
        <is>
          <t>Total Olive Oil demand</t>
        </is>
      </c>
      <c r="C54" t="inlineStr">
        <is>
          <t>Japan</t>
        </is>
      </c>
      <c r="D54" t="n">
        <v>5</v>
      </c>
      <c r="E54" t="inlineStr">
        <is>
          <t>International Olive Council (IOC)</t>
        </is>
      </c>
      <c r="F54" t="inlineStr">
        <is>
          <t>llm_claim</t>
        </is>
      </c>
      <c r="H54" t="n">
        <v>0</v>
      </c>
      <c r="I54" s="3" t="inlineStr">
        <is>
          <t>YES</t>
        </is>
      </c>
      <c r="J54" t="inlineStr">
        <is>
          <t>https://www.internationaloliveoil.org/what-we-do/economic-affairs-promotion-unit/</t>
        </is>
      </c>
      <c r="L54" t="n">
        <v>55000</v>
      </c>
      <c r="M54" t="inlineStr">
        <is>
          <t>Tonnes</t>
        </is>
      </c>
      <c r="N54" t="n">
        <v>2022</v>
      </c>
      <c r="O54" t="inlineStr">
        <is>
          <t>IOC, World Olive Oil and Table Olive Figures</t>
        </is>
      </c>
      <c r="P54" s="2" t="inlineStr">
        <is>
          <t>assumption</t>
        </is>
      </c>
    </row>
    <row r="55">
      <c r="A55" t="inlineStr">
        <is>
          <t>Driver</t>
        </is>
      </c>
      <c r="B55" t="inlineStr">
        <is>
          <t>Total Olive Oil demand</t>
        </is>
      </c>
      <c r="C55" t="inlineStr">
        <is>
          <t>Australia</t>
        </is>
      </c>
      <c r="D55" t="n">
        <v>1</v>
      </c>
      <c r="E55" t="inlineStr">
        <is>
          <t>Evidence Strategy source</t>
        </is>
      </c>
      <c r="F55" t="inlineStr">
        <is>
          <t>web_page</t>
        </is>
      </c>
      <c r="G55" t="inlineStr">
        <is>
          <t>Australia Apparent domestic consumption of olive oil Tonnes</t>
        </is>
      </c>
      <c r="H55" t="n">
        <v>5</v>
      </c>
      <c r="I55" s="2" t="inlineStr">
        <is>
          <t>no</t>
        </is>
      </c>
      <c r="Q55" t="inlineStr">
        <is>
          <t>unit_mismatch</t>
        </is>
      </c>
    </row>
    <row r="56">
      <c r="A56" t="inlineStr">
        <is>
          <t>Driver</t>
        </is>
      </c>
      <c r="B56" t="inlineStr">
        <is>
          <t>Total Olive Oil demand</t>
        </is>
      </c>
      <c r="C56" t="inlineStr">
        <is>
          <t>Australia</t>
        </is>
      </c>
      <c r="D56" t="n">
        <v>2</v>
      </c>
      <c r="E56" t="inlineStr">
        <is>
          <t>International Olive Council (IOC)</t>
        </is>
      </c>
      <c r="F56" t="inlineStr">
        <is>
          <t>pdf</t>
        </is>
      </c>
      <c r="H56" t="n">
        <v>0</v>
      </c>
      <c r="I56" s="2" t="inlineStr">
        <is>
          <t>no</t>
        </is>
      </c>
      <c r="J56" t="inlineStr">
        <is>
          <t>https://www.internationaloliveoil.org/wp-content/uploads/2019/11/AUSTRALIA_ang.pdf</t>
        </is>
      </c>
      <c r="Q56" t="inlineStr">
        <is>
          <t>extraction_failed</t>
        </is>
      </c>
    </row>
    <row r="57">
      <c r="A57" t="inlineStr">
        <is>
          <t>Driver</t>
        </is>
      </c>
      <c r="B57" t="inlineStr">
        <is>
          <t>Total Olive Oil demand</t>
        </is>
      </c>
      <c r="C57" t="inlineStr">
        <is>
          <t>Australia</t>
        </is>
      </c>
      <c r="D57" t="n">
        <v>3</v>
      </c>
      <c r="E57" t="inlineStr">
        <is>
          <t>FAOSTAT (Food and Agriculture Organization of the United Nations)</t>
        </is>
      </c>
      <c r="F57" t="inlineStr">
        <is>
          <t>api</t>
        </is>
      </c>
      <c r="H57" t="n">
        <v>0</v>
      </c>
      <c r="I57" s="2" t="inlineStr">
        <is>
          <t>no</t>
        </is>
      </c>
      <c r="J57" t="inlineStr">
        <is>
          <t>https://fenixservices.fao.org/faostat/api/v1/en/data/FOOD_BALANCE</t>
        </is>
      </c>
      <c r="Q57" t="inlineStr">
        <is>
          <t>network_error</t>
        </is>
      </c>
    </row>
    <row r="58">
      <c r="A58" t="inlineStr">
        <is>
          <t>Driver</t>
        </is>
      </c>
      <c r="B58" t="inlineStr">
        <is>
          <t>Total Olive Oil demand</t>
        </is>
      </c>
      <c r="C58" t="inlineStr">
        <is>
          <t>Australia</t>
        </is>
      </c>
      <c r="D58" t="n">
        <v>4</v>
      </c>
      <c r="E58" t="inlineStr">
        <is>
          <t>UN Comtrade Database</t>
        </is>
      </c>
      <c r="F58" t="inlineStr">
        <is>
          <t>api</t>
        </is>
      </c>
      <c r="H58" t="n">
        <v>0</v>
      </c>
      <c r="I58" s="2" t="inlineStr">
        <is>
          <t>no</t>
        </is>
      </c>
      <c r="J58" t="inlineStr">
        <is>
          <t>https://comtradeapi.un.org/public/v1/preview/C/A/HS</t>
        </is>
      </c>
      <c r="Q58" t="inlineStr">
        <is>
          <t>no_data_for_query</t>
        </is>
      </c>
    </row>
    <row r="59">
      <c r="A59" t="inlineStr">
        <is>
          <t>Driver</t>
        </is>
      </c>
      <c r="B59" t="inlineStr">
        <is>
          <t>Total Olive Oil demand</t>
        </is>
      </c>
      <c r="C59" t="inlineStr">
        <is>
          <t>Australia</t>
        </is>
      </c>
      <c r="D59" t="n">
        <v>5</v>
      </c>
      <c r="E59" t="inlineStr">
        <is>
          <t>International Olive Council (IOC)</t>
        </is>
      </c>
      <c r="F59" t="inlineStr">
        <is>
          <t>llm_claim</t>
        </is>
      </c>
      <c r="H59" t="n">
        <v>0</v>
      </c>
      <c r="I59" s="3" t="inlineStr">
        <is>
          <t>YES</t>
        </is>
      </c>
      <c r="J59" t="inlineStr">
        <is>
          <t>https://www.internationaloliveoil.org/what-we-do/economic-affairs-promotion-unit/</t>
        </is>
      </c>
      <c r="L59" t="n">
        <v>47000</v>
      </c>
      <c r="M59" t="inlineStr">
        <is>
          <t>Tonnes</t>
        </is>
      </c>
      <c r="N59" t="n">
        <v>2022</v>
      </c>
      <c r="O59" t="inlineStr">
        <is>
          <t>IOC, World Olive Oil Figures, 2022</t>
        </is>
      </c>
      <c r="P59" s="2" t="inlineStr">
        <is>
          <t>assumption</t>
        </is>
      </c>
    </row>
    <row r="60">
      <c r="A60" t="inlineStr">
        <is>
          <t>Price</t>
        </is>
      </c>
      <c r="B60" t="inlineStr">
        <is>
          <t>Total Olive Oil demand</t>
        </is>
      </c>
      <c r="C60" t="inlineStr">
        <is>
          <t>global</t>
        </is>
      </c>
      <c r="D60" t="n">
        <v>1</v>
      </c>
      <c r="E60" t="inlineStr">
        <is>
          <t>Evidence Strategy source</t>
        </is>
      </c>
      <c r="F60" t="inlineStr">
        <is>
          <t>web_page</t>
        </is>
      </c>
      <c r="G60" t="inlineStr">
        <is>
          <t>global tonne spot price benchmark</t>
        </is>
      </c>
      <c r="H60" t="n">
        <v>0</v>
      </c>
      <c r="I60" s="2" t="inlineStr">
        <is>
          <t>no</t>
        </is>
      </c>
      <c r="Q60" t="inlineStr">
        <is>
          <t>no_source_found</t>
        </is>
      </c>
    </row>
    <row r="61">
      <c r="A61" t="inlineStr">
        <is>
          <t>Price</t>
        </is>
      </c>
      <c r="B61" t="inlineStr">
        <is>
          <t>Total Olive Oil demand</t>
        </is>
      </c>
      <c r="C61" t="inlineStr">
        <is>
          <t>global</t>
        </is>
      </c>
      <c r="D61" t="n">
        <v>2</v>
      </c>
      <c r="E61" t="inlineStr">
        <is>
          <t>International Olive Council (IOC)</t>
        </is>
      </c>
      <c r="F61" t="inlineStr">
        <is>
          <t>pdf</t>
        </is>
      </c>
      <c r="H61" t="n">
        <v>0</v>
      </c>
      <c r="I61" s="2" t="inlineStr">
        <is>
          <t>no</t>
        </is>
      </c>
      <c r="J61" t="inlineStr">
        <is>
          <t>https://www.internationaloliveoil.org/olive-sector-statistics-april-2026/</t>
        </is>
      </c>
      <c r="Q61" t="inlineStr">
        <is>
          <t>html_landing_page_not_asset</t>
        </is>
      </c>
    </row>
    <row r="62">
      <c r="A62" t="inlineStr">
        <is>
          <t>Price</t>
        </is>
      </c>
      <c r="B62" t="inlineStr">
        <is>
          <t>Total Olive Oil demand</t>
        </is>
      </c>
      <c r="C62" t="inlineStr">
        <is>
          <t>global</t>
        </is>
      </c>
      <c r="D62" t="n">
        <v>3</v>
      </c>
      <c r="E62" t="inlineStr">
        <is>
          <t>Food and Agriculture Organization of the United Nations (FAOSTAT)</t>
        </is>
      </c>
      <c r="F62" t="inlineStr">
        <is>
          <t>api</t>
        </is>
      </c>
      <c r="H62" t="n">
        <v>0</v>
      </c>
      <c r="I62" s="2" t="inlineStr">
        <is>
          <t>no</t>
        </is>
      </c>
      <c r="J62" t="inlineStr">
        <is>
          <t>https://fenixservices.fao.org/faostat/api/v1/en/data/PP</t>
        </is>
      </c>
      <c r="Q62" t="inlineStr">
        <is>
          <t>network_error</t>
        </is>
      </c>
    </row>
    <row r="63">
      <c r="A63" t="inlineStr">
        <is>
          <t>Price</t>
        </is>
      </c>
      <c r="B63" t="inlineStr">
        <is>
          <t>Total Olive Oil demand</t>
        </is>
      </c>
      <c r="C63" t="inlineStr">
        <is>
          <t>global</t>
        </is>
      </c>
      <c r="D63" t="n">
        <v>4</v>
      </c>
      <c r="E63" t="inlineStr">
        <is>
          <t>Eurostat</t>
        </is>
      </c>
      <c r="F63" t="inlineStr">
        <is>
          <t>csv_excel</t>
        </is>
      </c>
      <c r="H63" t="n">
        <v>0</v>
      </c>
      <c r="I63" s="2" t="inlineStr">
        <is>
          <t>no</t>
        </is>
      </c>
      <c r="J63" t="inlineStr">
        <is>
          <t>https://www.cbi.eu/market-information/processed-fruit-vegetables-edible-nuts/olive-oil/market-potential</t>
        </is>
      </c>
      <c r="Q63" t="inlineStr">
        <is>
          <t>html_landing_page_not_asset</t>
        </is>
      </c>
    </row>
    <row r="64">
      <c r="A64" t="inlineStr">
        <is>
          <t>Price</t>
        </is>
      </c>
      <c r="B64" t="inlineStr">
        <is>
          <t>Total Olive Oil demand</t>
        </is>
      </c>
      <c r="C64" t="inlineStr">
        <is>
          <t>global</t>
        </is>
      </c>
      <c r="D64" t="n">
        <v>5</v>
      </c>
      <c r="E64" t="inlineStr">
        <is>
          <t>LLM best-effort claim(s)</t>
        </is>
      </c>
      <c r="F64" t="inlineStr">
        <is>
          <t>llm_claim</t>
        </is>
      </c>
      <c r="H64" t="n">
        <v>0</v>
      </c>
      <c r="I64" s="2" t="inlineStr">
        <is>
          <t>no</t>
        </is>
      </c>
      <c r="Q64" t="inlineStr">
        <is>
          <t>no_specific_claim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 t="inlineStr">
        <is>
          <t>Metric</t>
        </is>
      </c>
      <c r="B1" s="1" t="inlineStr">
        <is>
          <t>Count</t>
        </is>
      </c>
    </row>
    <row r="2">
      <c r="A2" t="inlineStr">
        <is>
          <t>Total evidence attempts (all kinds/types)</t>
        </is>
      </c>
      <c r="B2" t="n">
        <v>63</v>
      </c>
    </row>
    <row r="3">
      <c r="A3" t="inlineStr">
        <is>
          <t>api: attempts / found</t>
        </is>
      </c>
      <c r="B3" t="inlineStr">
        <is>
          <t>23 / 0</t>
        </is>
      </c>
    </row>
    <row r="4">
      <c r="A4" t="inlineStr">
        <is>
          <t>csv_excel: attempts / found</t>
        </is>
      </c>
      <c r="B4" t="inlineStr">
        <is>
          <t>1 / 0</t>
        </is>
      </c>
    </row>
    <row r="5">
      <c r="A5" t="inlineStr">
        <is>
          <t>llm_claim: attempts / found</t>
        </is>
      </c>
      <c r="B5" t="inlineStr">
        <is>
          <t>12 / 11</t>
        </is>
      </c>
    </row>
    <row r="6">
      <c r="A6" t="inlineStr">
        <is>
          <t>pdf: attempts / found</t>
        </is>
      </c>
      <c r="B6" t="inlineStr">
        <is>
          <t>12 / 0</t>
        </is>
      </c>
    </row>
    <row r="7">
      <c r="A7" t="inlineStr">
        <is>
          <t>web_page: attempts / found</t>
        </is>
      </c>
      <c r="B7" t="inlineStr">
        <is>
          <t>15 / 3</t>
        </is>
      </c>
    </row>
    <row r="8"/>
    <row r="9">
      <c r="A9" s="1" t="inlineStr">
        <is>
          <t>Rejection reasons (misses only)</t>
        </is>
      </c>
    </row>
    <row r="10">
      <c r="A10" t="inlineStr">
        <is>
          <t>extraction_failed</t>
        </is>
      </c>
      <c r="B10" t="n">
        <v>13</v>
      </c>
    </row>
    <row r="11">
      <c r="A11" t="inlineStr">
        <is>
          <t>network_error</t>
        </is>
      </c>
      <c r="B11" t="n">
        <v>12</v>
      </c>
    </row>
    <row r="12">
      <c r="A12" t="inlineStr">
        <is>
          <t>no_data_for_query</t>
        </is>
      </c>
      <c r="B12" t="n">
        <v>11</v>
      </c>
    </row>
    <row r="13">
      <c r="A13" t="inlineStr">
        <is>
          <t>html_landing_page_not_asset</t>
        </is>
      </c>
      <c r="B13" t="n">
        <v>8</v>
      </c>
    </row>
    <row r="14">
      <c r="A14" t="inlineStr">
        <is>
          <t>unit_mismatch</t>
        </is>
      </c>
      <c r="B14" t="n">
        <v>3</v>
      </c>
    </row>
    <row r="15">
      <c r="A15" t="inlineStr">
        <is>
          <t>no_source_found</t>
        </is>
      </c>
      <c r="B15" t="n">
        <v>1</v>
      </c>
    </row>
    <row r="16">
      <c r="A16" t="inlineStr">
        <is>
          <t>no_specific_claim</t>
        </is>
      </c>
      <c r="B16" t="n">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5"/>
  <sheetData>
    <row r="1">
      <c r="A1" s="1" t="inlineStr">
        <is>
          <t>Bucket</t>
        </is>
      </c>
      <c r="B1" s="1" t="inlineStr">
        <is>
          <t>Used Value</t>
        </is>
      </c>
      <c r="C1" s="1" t="inlineStr">
        <is>
          <t>Used Unit</t>
        </is>
      </c>
      <c r="D1" s="1" t="inlineStr">
        <is>
          <t>Independent Reference Value</t>
        </is>
      </c>
      <c r="E1" s="1" t="inlineStr">
        <is>
          <t>Reference Source</t>
        </is>
      </c>
      <c r="F1" s="1" t="inlineStr">
        <is>
          <t>Ratio</t>
        </is>
      </c>
      <c r="G1" s="1" t="inlineStr">
        <is>
          <t>Note</t>
        </is>
      </c>
    </row>
    <row r="2">
      <c r="A2" t="inlineStr">
        <is>
          <t>(none -- no bucket's driver total diverged 3x+ from an independent reference)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s="1" t="inlineStr">
        <is>
          <t>Benchmark Category</t>
        </is>
      </c>
      <c r="B1" s="1" t="inlineStr">
        <is>
          <t>Value</t>
        </is>
      </c>
      <c r="C1" s="1" t="inlineStr">
        <is>
          <t>Unit</t>
        </is>
      </c>
      <c r="D1" s="1" t="inlineStr">
        <is>
          <t>Year</t>
        </is>
      </c>
      <c r="E1" s="1" t="inlineStr">
        <is>
          <t>Source</t>
        </is>
      </c>
      <c r="F1" s="1" t="inlineStr">
        <is>
          <t>Citation</t>
        </is>
      </c>
      <c r="G1" s="1" t="inlineStr">
        <is>
          <t>Evidence Type</t>
        </is>
      </c>
      <c r="H1" s="1" t="inlineStr">
        <is>
          <t>Demand-Side Estimate (US$ Mn)</t>
        </is>
      </c>
      <c r="I1" s="1" t="inlineStr">
        <is>
          <t>Gap %</t>
        </is>
      </c>
    </row>
    <row r="2">
      <c r="A2" t="inlineStr">
        <is>
          <t>published market-size estimate</t>
        </is>
      </c>
      <c r="B2" t="n">
        <v>13490</v>
      </c>
      <c r="C2" t="inlineStr">
        <is>
          <t>USD Mn</t>
        </is>
      </c>
      <c r="D2" t="n">
        <v>2025</v>
      </c>
      <c r="E2" t="inlineStr">
        <is>
          <t>Olive Oil Market Size, Growth and Share Report 2026-2030</t>
        </is>
      </c>
      <c r="F2" t="inlineStr">
        <is>
          <t>It will grow from $13.49 billion in 2025 to $14.23 billion in 2026</t>
        </is>
      </c>
      <c r="G2" s="3" t="inlineStr">
        <is>
          <t>verified_observed</t>
        </is>
      </c>
      <c r="H2" t="n">
        <v>10495.8</v>
      </c>
      <c r="I2" t="n">
        <v>-22.2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5"/>
  <sheetData>
    <row r="1">
      <c r="A1" s="1" t="inlineStr">
        <is>
          <t>Check Type</t>
        </is>
      </c>
      <c r="B1" s="1" t="inlineStr">
        <is>
          <t>Bucket</t>
        </is>
      </c>
      <c r="C1" s="1" t="inlineStr">
        <is>
          <t>Subject</t>
        </is>
      </c>
      <c r="D1" s="1" t="inlineStr">
        <is>
          <t>Original Value</t>
        </is>
      </c>
      <c r="E1" s="1" t="inlineStr">
        <is>
          <t>Unit</t>
        </is>
      </c>
      <c r="F1" s="1" t="inlineStr">
        <is>
          <t>Original Source</t>
        </is>
      </c>
      <c r="G1" s="1" t="inlineStr">
        <is>
          <t>Original Verification Status</t>
        </is>
      </c>
      <c r="H1" s="1" t="inlineStr">
        <is>
          <t>Best Reference Value</t>
        </is>
      </c>
      <c r="I1" s="1" t="inlineStr">
        <is>
          <t>Reference Source</t>
        </is>
      </c>
      <c r="J1" s="1" t="inlineStr">
        <is>
          <t>Reference Verification Status</t>
        </is>
      </c>
      <c r="K1" s="1" t="inlineStr">
        <is>
          <t>Ratio</t>
        </is>
      </c>
      <c r="L1" s="1" t="inlineStr">
        <is>
          <t>Classification</t>
        </is>
      </c>
      <c r="M1" s="1" t="inlineStr">
        <is>
          <t>References Agree</t>
        </is>
      </c>
      <c r="N1" s="1" t="inlineStr">
        <is>
          <t>Note</t>
        </is>
      </c>
    </row>
    <row r="2">
      <c r="A2" t="inlineStr">
        <is>
          <t>(none -- no driver/intensity/derived-quantity/price magnitude, country-vs-parent, usage-vs-parent-category, or year/period check was flagged this run)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2"/>
  <sheetViews>
    <sheetView workbookViewId="0">
      <selection activeCell="A1" sqref="A1"/>
    </sheetView>
  </sheetViews>
  <sheetFormatPr baseColWidth="8" defaultRowHeight="15"/>
  <sheetData>
    <row r="1">
      <c r="A1" s="1" t="inlineStr">
        <is>
          <t>Usage Bucket</t>
        </is>
      </c>
      <c r="B1" s="1" t="inlineStr">
        <is>
          <t>Metric Required</t>
        </is>
      </c>
      <c r="C1" s="1" t="inlineStr">
        <is>
          <t>Physical Unit</t>
        </is>
      </c>
      <c r="D1" s="1" t="inlineStr">
        <is>
          <t>Period</t>
        </is>
      </c>
      <c r="E1" s="1" t="inlineStr">
        <is>
          <t>Geography</t>
        </is>
      </c>
      <c r="F1" s="1" t="inlineStr">
        <is>
          <t>Primary Source Types</t>
        </is>
      </c>
      <c r="G1" s="1" t="inlineStr">
        <is>
          <t>Preferred Sources</t>
        </is>
      </c>
      <c r="H1" s="1" t="inlineStr">
        <is>
          <t>Search Query Templates</t>
        </is>
      </c>
      <c r="I1" s="1" t="inlineStr">
        <is>
          <t>Fallback Source Types</t>
        </is>
      </c>
      <c r="J1" s="1" t="inlineStr">
        <is>
          <t>Fallback Queries</t>
        </is>
      </c>
      <c r="K1" s="1" t="inlineStr">
        <is>
          <t>Derivation Path</t>
        </is>
      </c>
      <c r="L1" s="1" t="inlineStr">
        <is>
          <t>Expected Evidence</t>
        </is>
      </c>
      <c r="M1" s="1" t="inlineStr">
        <is>
          <t>Why This Driver Measures The Usage</t>
        </is>
      </c>
      <c r="N1" s="1" t="inlineStr">
        <is>
          <t>Strategy Source</t>
        </is>
      </c>
      <c r="O1" s="1" t="inlineStr">
        <is>
          <t>Validation Flags</t>
        </is>
      </c>
    </row>
    <row r="2">
      <c r="A2" t="inlineStr">
        <is>
          <t>Total Olive Oil demand</t>
        </is>
      </c>
      <c r="B2" t="inlineStr">
        <is>
          <t>Apparent domestic consumption of olive oil</t>
        </is>
      </c>
      <c r="C2" t="inlineStr">
        <is>
          <t>Tonnes</t>
        </is>
      </c>
      <c r="E2" t="inlineStr">
        <is>
          <t>Spain, Italy, Greece, Portugal, Tunisia, Turkey, Morocco, United States, France, Germany, United Kingdom, Brazil, Japan, Australia</t>
        </is>
      </c>
      <c r="F2" t="inlineStr">
        <is>
          <t>government_statistics, international_organization</t>
        </is>
      </c>
      <c r="H2" t="inlineStr">
        <is>
          <t>{country} Apparent domestic consumption of olive oil Tonnes</t>
        </is>
      </c>
      <c r="I2" t="inlineStr">
        <is>
          <t>industry_association, research_consulting</t>
        </is>
      </c>
      <c r="J2" t="inlineStr">
        <is>
          <t>National olive oil production statistics (e.g., from ministries of agriculture or national statistics offices) | Import and export volumes of olive oil in tonnes (e.g., from customs or trade databases) | Stock changes or inventory data if available to adjust apparent consumption | Industry reports or market analyses that provide apparent consumption figures</t>
        </is>
      </c>
      <c r="K2" t="inlineStr">
        <is>
          <t>driver_value</t>
        </is>
      </c>
      <c r="L2" t="inlineStr">
        <is>
          <t>National olive oil production statistics (e.g., from ministries of agriculture or national statistics offices); Import and export volumes of olive oil in tonnes (e.g., from customs or trade databases); Stock changes or inventory data if available to adjust apparent consumption; Industry reports or market analyses that provide apparent consumption figures</t>
        </is>
      </c>
      <c r="M2" t="inlineStr">
        <is>
          <t>Reused from a previously-derived driver methodology for a semantically similar usage bucket (driver_library match similarity 1.0).</t>
        </is>
      </c>
      <c r="N2" t="inlineStr">
        <is>
          <t>reused_library_default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
  <sheetViews>
    <sheetView workbookViewId="0">
      <selection activeCell="A1" sqref="A1"/>
    </sheetView>
  </sheetViews>
  <sheetFormatPr baseColWidth="8" defaultRowHeight="15"/>
  <sheetData>
    <row r="1">
      <c r="A1" s="1" t="inlineStr">
        <is>
          <t>Usage Bucket</t>
        </is>
      </c>
      <c r="B1" s="1" t="inlineStr">
        <is>
          <t>Final Demand Unit</t>
        </is>
      </c>
      <c r="C1" s="1" t="inlineStr">
        <is>
          <t>Priced Unit</t>
        </is>
      </c>
      <c r="D1" s="1" t="inlineStr">
        <is>
          <t>Same As Final Unit</t>
        </is>
      </c>
      <c r="E1" s="1" t="inlineStr">
        <is>
          <t>Conversion Factor Name</t>
        </is>
      </c>
      <c r="F1" s="1" t="inlineStr">
        <is>
          <t>Conversion Factor Value</t>
        </is>
      </c>
      <c r="G1" s="1" t="inlineStr">
        <is>
          <t>Conversion Factor Unit</t>
        </is>
      </c>
      <c r="H1" s="1" t="inlineStr">
        <is>
          <t>Conversion Evidence Type</t>
        </is>
      </c>
      <c r="I1" s="1" t="inlineStr">
        <is>
          <t>Rationale</t>
        </is>
      </c>
      <c r="J1" s="1" t="inlineStr">
        <is>
          <t>Price Basis Flags</t>
        </is>
      </c>
      <c r="K1" s="1" t="inlineStr">
        <is>
          <t>Normalized Price</t>
        </is>
      </c>
      <c r="L1" s="1" t="inlineStr">
        <is>
          <t>Normalized Unit</t>
        </is>
      </c>
      <c r="M1" s="1" t="inlineStr">
        <is>
          <t>Price Verification Status</t>
        </is>
      </c>
    </row>
    <row r="2">
      <c r="A2" t="inlineStr">
        <is>
          <t>Total Olive Oil demand</t>
        </is>
      </c>
      <c r="B2" t="inlineStr">
        <is>
          <t>Tonnes</t>
        </is>
      </c>
      <c r="C2" t="inlineStr">
        <is>
          <t>tonne</t>
        </is>
      </c>
      <c r="D2" t="inlineStr">
        <is>
          <t>YES</t>
        </is>
      </c>
      <c r="I2" t="inlineStr">
        <is>
          <t>Olive oil is a physical commodity traded and priced directly in metric tonnes (or kg) in bulk markets, so the finished-demand unit of tonnes is itself the priced unit with no conversion needed.</t>
        </is>
      </c>
      <c r="K2" t="n">
        <v>4200</v>
      </c>
      <c r="L2" t="inlineStr">
        <is>
          <t>USD per tonnes</t>
        </is>
      </c>
      <c r="M2" s="2" t="inlineStr">
        <is>
          <t>assumption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sheetData>
    <row r="1">
      <c r="A1" s="1" t="inlineStr">
        <is>
          <t>Bucket</t>
        </is>
      </c>
      <c r="B1" s="1" t="inlineStr">
        <is>
          <t>Status</t>
        </is>
      </c>
      <c r="C1" s="1" t="inlineStr">
        <is>
          <t>Final Demand Unit (raw)</t>
        </is>
      </c>
      <c r="D1" s="1" t="inlineStr">
        <is>
          <t>Parsed Scale</t>
        </is>
      </c>
      <c r="E1" s="1" t="inlineStr">
        <is>
          <t>Parsed Base Unit</t>
        </is>
      </c>
      <c r="F1" s="1" t="inlineStr">
        <is>
          <t>Parsed Period</t>
        </is>
      </c>
      <c r="G1" s="1" t="inlineStr">
        <is>
          <t>Normalized ASP (per base unit)</t>
        </is>
      </c>
      <c r="H1" s="1" t="inlineStr">
        <is>
          <t>Reason (if rejected)</t>
        </is>
      </c>
    </row>
    <row r="2">
      <c r="A2" t="inlineStr">
        <is>
          <t>Total Olive Oil demand</t>
        </is>
      </c>
      <c r="B2" s="3" t="inlineStr">
        <is>
          <t>ok</t>
        </is>
      </c>
      <c r="C2" t="inlineStr">
        <is>
          <t>Tonnes</t>
        </is>
      </c>
      <c r="D2" t="n">
        <v>1</v>
      </c>
      <c r="E2" t="inlineStr">
        <is>
          <t>tonnes</t>
        </is>
      </c>
      <c r="G2" t="n">
        <v>4200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sheetData>
    <row r="1">
      <c r="A1" s="1" t="inlineStr">
        <is>
          <t>Reported Market View Breakdown</t>
        </is>
      </c>
    </row>
    <row r="2">
      <c r="A2" t="inlineStr">
        <is>
          <t>Included Demand (physical consumption)</t>
        </is>
      </c>
      <c r="B2" t="n">
        <v>10495.8</v>
      </c>
    </row>
    <row r="3">
      <c r="A3" t="inlineStr">
        <is>
          <t>+ Residual / Uncovered (implied by coverage gap -- NOT evidence-built, NOT in any bucket)</t>
        </is>
      </c>
    </row>
    <row r="4">
      <c r="A4" t="inlineStr">
        <is>
          <t>+ Related Demand (inventory/reserve, reported separately)</t>
        </is>
      </c>
      <c r="B4" t="n">
        <v>0</v>
      </c>
    </row>
    <row r="5">
      <c r="A5" s="1">
        <f> Reported Market View</f>
        <v/>
      </c>
      <c r="B5" s="1" t="n">
        <v>10495.8</v>
      </c>
    </row>
    <row r="6">
      <c r="A6" t="inlineStr">
        <is>
          <t>Estimated Coverage % (bounded pipeline estimate -- NOT verified market knowledge)</t>
        </is>
      </c>
      <c r="B6" t="inlineStr">
        <is>
          <t>n/a</t>
        </is>
      </c>
    </row>
    <row r="7">
      <c r="A7" t="inlineStr">
        <is>
          <t>Coverage threshold (configurable)</t>
        </is>
      </c>
      <c r="B7" t="inlineStr">
        <is>
          <t>85%</t>
        </is>
      </c>
    </row>
    <row r="8"/>
    <row r="9">
      <c r="A9" s="1" t="inlineStr">
        <is>
          <t>Evidence Quality</t>
        </is>
      </c>
    </row>
    <row r="10">
      <c r="A10" t="inlineStr">
        <is>
          <t>Verified observed inputs</t>
        </is>
      </c>
      <c r="B10" t="inlineStr">
        <is>
          <t>20.0%</t>
        </is>
      </c>
    </row>
    <row r="11">
      <c r="A11" t="inlineStr">
        <is>
          <t>Derived inputs</t>
        </is>
      </c>
      <c r="B11" t="inlineStr">
        <is>
          <t>0.0%</t>
        </is>
      </c>
    </row>
    <row r="12">
      <c r="A12" t="inlineStr">
        <is>
          <t>Source found, unverified inputs</t>
        </is>
      </c>
      <c r="B12" t="inlineStr">
        <is>
          <t>0.0%</t>
        </is>
      </c>
    </row>
    <row r="13">
      <c r="A13" t="inlineStr">
        <is>
          <t>Assumption inputs</t>
        </is>
      </c>
      <c r="B13" t="inlineStr">
        <is>
          <t>80.0%</t>
        </is>
      </c>
    </row>
    <row r="14"/>
    <row r="15">
      <c r="A15" s="1" t="inlineStr">
        <is>
          <t>Country</t>
        </is>
      </c>
      <c r="B15" s="1" t="inlineStr">
        <is>
          <t>Included Demand (US$ Mn)</t>
        </is>
      </c>
      <c r="C15" s="1" t="inlineStr">
        <is>
          <t>Related Demand (US$ Mn)</t>
        </is>
      </c>
    </row>
    <row r="16">
      <c r="A16" t="inlineStr">
        <is>
          <t>Spain</t>
        </is>
      </c>
      <c r="B16" t="n">
        <v>2100</v>
      </c>
      <c r="C16" t="n">
        <v>0</v>
      </c>
    </row>
    <row r="17">
      <c r="A17" t="inlineStr">
        <is>
          <t>Italy</t>
        </is>
      </c>
      <c r="B17" t="n">
        <v>2100</v>
      </c>
      <c r="C17" t="n">
        <v>0</v>
      </c>
    </row>
    <row r="18">
      <c r="A18" t="inlineStr">
        <is>
          <t>Greece</t>
        </is>
      </c>
      <c r="B18" t="n">
        <v>1050</v>
      </c>
      <c r="C18" t="n">
        <v>0</v>
      </c>
    </row>
    <row r="19">
      <c r="A19" t="inlineStr">
        <is>
          <t>Portugal</t>
        </is>
      </c>
      <c r="B19" t="n">
        <v>256.2</v>
      </c>
      <c r="C19" t="n">
        <v>0</v>
      </c>
    </row>
    <row r="20">
      <c r="A20" t="inlineStr">
        <is>
          <t>Tunisia</t>
        </is>
      </c>
      <c r="B20" t="n">
        <v>210</v>
      </c>
      <c r="C20" t="n">
        <v>0</v>
      </c>
    </row>
    <row r="21">
      <c r="A21" t="inlineStr">
        <is>
          <t>Turkey</t>
        </is>
      </c>
      <c r="B21" t="n">
        <v>756</v>
      </c>
      <c r="C21" t="n">
        <v>0</v>
      </c>
    </row>
    <row r="22">
      <c r="A22" t="inlineStr">
        <is>
          <t>Morocco</t>
        </is>
      </c>
      <c r="B22" t="n">
        <v>504</v>
      </c>
      <c r="C22" t="n">
        <v>0</v>
      </c>
    </row>
    <row r="23">
      <c r="A23" t="inlineStr">
        <is>
          <t>United States</t>
        </is>
      </c>
      <c r="B23" t="n">
        <v>1600.2</v>
      </c>
      <c r="C23" t="n">
        <v>0</v>
      </c>
    </row>
    <row r="24">
      <c r="A24" t="inlineStr">
        <is>
          <t>France</t>
        </is>
      </c>
      <c r="B24" t="n">
        <v>462</v>
      </c>
      <c r="C24" t="n">
        <v>0</v>
      </c>
    </row>
    <row r="25">
      <c r="A25" t="inlineStr">
        <is>
          <t>Germany</t>
        </is>
      </c>
      <c r="B25" t="n">
        <v>294</v>
      </c>
      <c r="C25" t="n">
        <v>0</v>
      </c>
    </row>
    <row r="26">
      <c r="A26" t="inlineStr">
        <is>
          <t>United Kingdom</t>
        </is>
      </c>
      <c r="B26" t="n">
        <v>315</v>
      </c>
      <c r="C26" t="n">
        <v>0</v>
      </c>
    </row>
    <row r="27">
      <c r="A27" t="inlineStr">
        <is>
          <t>Brazil</t>
        </is>
      </c>
      <c r="B27" t="n">
        <v>420</v>
      </c>
      <c r="C27" t="n">
        <v>0</v>
      </c>
    </row>
    <row r="28">
      <c r="A28" t="inlineStr">
        <is>
          <t>Japan</t>
        </is>
      </c>
      <c r="B28" t="n">
        <v>231</v>
      </c>
      <c r="C28" t="n">
        <v>0</v>
      </c>
    </row>
    <row r="29">
      <c r="A29" t="inlineStr">
        <is>
          <t>Australia</t>
        </is>
      </c>
      <c r="B29" t="n">
        <v>197.4</v>
      </c>
      <c r="C29" t="n">
        <v>0</v>
      </c>
    </row>
    <row r="30"/>
    <row r="31">
      <c r="A31" s="1" t="inlineStr">
        <is>
          <t>Global Total</t>
        </is>
      </c>
      <c r="B31" t="n">
        <v>10495.8</v>
      </c>
      <c r="C31"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sheetData>
    <row r="1">
      <c r="A1" s="1" t="inlineStr">
        <is>
          <t>Metric</t>
        </is>
      </c>
      <c r="B1" s="1" t="inlineStr">
        <is>
          <t>Value</t>
        </is>
      </c>
    </row>
    <row r="2">
      <c r="A2" t="inlineStr">
        <is>
          <t>deterministic_score</t>
        </is>
      </c>
      <c r="B2" t="inlineStr">
        <is>
          <t>1.0</t>
        </is>
      </c>
    </row>
    <row r="3">
      <c r="A3" t="inlineStr">
        <is>
          <t>plausibility_score</t>
        </is>
      </c>
      <c r="B3" t="inlineStr">
        <is>
          <t>0.61</t>
        </is>
      </c>
    </row>
    <row r="4">
      <c r="A4" t="inlineStr">
        <is>
          <t>arithmetic_ok</t>
        </is>
      </c>
      <c r="B4" t="inlineStr">
        <is>
          <t>True</t>
        </is>
      </c>
    </row>
    <row r="5">
      <c r="A5" t="inlineStr">
        <is>
          <t>coverage_pct</t>
        </is>
      </c>
      <c r="B5" t="inlineStr">
        <is>
          <t>None</t>
        </is>
      </c>
    </row>
    <row r="6">
      <c r="A6" t="inlineStr">
        <is>
          <t>coverage_threshold_pct</t>
        </is>
      </c>
      <c r="B6" t="inlineStr">
        <is>
          <t>85.0</t>
        </is>
      </c>
    </row>
    <row r="7">
      <c r="A7" t="inlineStr">
        <is>
          <t>included_demand_usd_mn</t>
        </is>
      </c>
      <c r="B7" t="inlineStr">
        <is>
          <t>10495.8</t>
        </is>
      </c>
    </row>
    <row r="8">
      <c r="A8" t="inlineStr">
        <is>
          <t>related_demand_value_usd_mn</t>
        </is>
      </c>
      <c r="B8" t="inlineStr">
        <is>
          <t>0.0</t>
        </is>
      </c>
    </row>
    <row r="9">
      <c r="A9" t="inlineStr">
        <is>
          <t>residual_implied_usd_mn</t>
        </is>
      </c>
      <c r="B9" t="inlineStr">
        <is>
          <t>None</t>
        </is>
      </c>
    </row>
    <row r="10">
      <c r="A10" t="inlineStr">
        <is>
          <t>reported_market_view_usd_mn</t>
        </is>
      </c>
      <c r="B10" t="inlineStr">
        <is>
          <t>10495.8</t>
        </is>
      </c>
    </row>
    <row r="11">
      <c r="A11" t="inlineStr">
        <is>
          <t>desk_research_reference_value</t>
        </is>
      </c>
      <c r="B11" t="inlineStr">
        <is>
          <t>None</t>
        </is>
      </c>
    </row>
    <row r="12">
      <c r="A12" t="inlineStr">
        <is>
          <t>reference_delta_pct</t>
        </is>
      </c>
      <c r="B12" t="inlineStr">
        <is>
          <t>None</t>
        </is>
      </c>
    </row>
    <row r="13"/>
    <row r="14">
      <c r="A14" s="1" t="inlineStr">
        <is>
          <t>Overlap flags</t>
        </is>
      </c>
    </row>
    <row r="15">
      <c r="A15" s="1" t="inlineStr">
        <is>
          <t>Missing category flags</t>
        </is>
      </c>
    </row>
    <row r="16">
      <c r="A16" s="1" t="inlineStr">
        <is>
          <t>Dominant-bucket (unit mismatch risk) flags</t>
        </is>
      </c>
    </row>
    <row r="17">
      <c r="A17" s="1" t="inlineStr">
        <is>
          <t>Country-cell outlier flags</t>
        </is>
      </c>
    </row>
    <row r="18">
      <c r="A18" s="1" t="inlineStr">
        <is>
          <t>Intensity-fraction-clamped buckets</t>
        </is>
      </c>
    </row>
    <row r="19">
      <c r="A19" s="1" t="inlineStr">
        <is>
          <t>Unit contract violations (excluded from calculation)</t>
        </is>
      </c>
    </row>
    <row r="20">
      <c r="A20" s="1" t="inlineStr">
        <is>
          <t>LLM CALL FAILURES (infrastructure, not genuine estimates)</t>
        </is>
      </c>
    </row>
    <row r="21">
      <c r="A21" s="1" t="inlineStr">
        <is>
          <t>Price plausibility flags</t>
        </is>
      </c>
    </row>
    <row r="22">
      <c r="A22" s="1" t="inlineStr">
        <is>
          <t>Unit mismatch flags</t>
        </is>
      </c>
    </row>
    <row r="23">
      <c r="A23" s="1" t="inlineStr">
        <is>
          <t>Stale evidence source flags</t>
        </is>
      </c>
    </row>
    <row r="24">
      <c r="B24" t="inlineStr">
        <is>
          <t>'Total Olive Oil demand'@Greece: driver evidence dated 2020</t>
        </is>
      </c>
    </row>
    <row r="25">
      <c r="B25" t="inlineStr">
        <is>
          <t>'Total Olive Oil demand'@Germany: driver evidence dated 2020</t>
        </is>
      </c>
    </row>
    <row r="26">
      <c r="A26" s="1" t="inlineStr">
        <is>
          <t>Driver magnitude implausible flags</t>
        </is>
      </c>
    </row>
    <row r="27">
      <c r="A27" s="1" t="inlineStr">
        <is>
          <t>Triangulation large-gap flags (informational)</t>
        </is>
      </c>
    </row>
    <row r="28">
      <c r="A28" s="1" t="inlineStr">
        <is>
          <t>Magnitude cross-validation discrepancy flags</t>
        </is>
      </c>
    </row>
    <row r="29">
      <c r="A29" s="1" t="inlineStr">
        <is>
          <t>Other problems</t>
        </is>
      </c>
    </row>
    <row r="30">
      <c r="B30" t="inlineStr">
        <is>
          <t>2 driver evidence source(s) predate 2022</t>
        </is>
      </c>
    </row>
    <row r="31">
      <c r="B31" t="inlineStr">
        <is>
          <t>Only one usage bucket ('Total Olive Oil demand') is provided, so no double-counting can occur across buckets; however, this also means the construction is not genuinely bottom-up and provides no independent validation of the country totals.</t>
        </is>
      </c>
    </row>
    <row r="32">
      <c r="B32" t="inlineStr">
        <is>
          <t>The country totals appear to be derived from aggregate consumption values rather than distinct usage segments, so the 'usage-based' framing is misleading and may hide overlaps if the single bucket was built from overlapping sub-categories (e.g., retail + foodservice + industrial uses of the same oil).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2026-10-04T12:12:27Z</dcterms:created>
  <dcterms:modified xmlns:dcterms="http://purl.org/dc/terms/" xmlns:xsi="http://www.w3.org/2001/XMLSchema-instance" xsi:type="dcterms:W3CDTF">2026-10-05T10:40:32Z</dcterms:modified>
</cp:coreProperties>
</file>