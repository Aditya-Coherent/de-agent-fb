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7"/>
  <sheetViews>
    <sheetView workbookViewId="0">
      <selection activeCell="A1" sqref="A1"/>
    </sheetView>
  </sheetViews>
  <sheetFormatPr baseColWidth="8" defaultRowHeight="15"/>
  <sheetData>
    <row r="1">
      <c r="A1" s="1" t="inlineStr">
        <is>
          <t>Market Name</t>
        </is>
      </c>
      <c r="B1" t="inlineStr">
        <is>
          <t>Laptops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Total Laptops demand</t>
        </is>
      </c>
      <c r="C5" t="inlineStr">
        <is>
          <t>physical_consumption</t>
        </is>
      </c>
      <c r="D5" t="inlineStr">
        <is>
          <t>National smartphone shipments (apparent consumption)</t>
        </is>
      </c>
      <c r="E5" t="inlineStr">
        <is>
          <t>smartphones (units shipped)</t>
        </is>
      </c>
      <c r="F5" t="inlineStr">
        <is>
          <t>smartphones (units shipped)</t>
        </is>
      </c>
      <c r="G5" t="inlineStr">
        <is>
          <t>driver_value * intensity_value</t>
        </is>
      </c>
      <c r="H5" t="inlineStr">
        <is>
          <t>reused</t>
        </is>
      </c>
      <c r="I5" t="n">
        <v>160000000</v>
      </c>
      <c r="J5" s="2" t="inlineStr">
        <is>
          <t>assumption</t>
        </is>
      </c>
      <c r="K5" t="inlineStr">
        <is>
          <t>No country, regional, or global evidence found -- best-informed assumption.</t>
        </is>
      </c>
      <c r="L5" s="2" t="inlineStr">
        <is>
          <t>assumption</t>
        </is>
      </c>
      <c r="M5" t="inlineStr"/>
      <c r="N5" t="inlineStr"/>
      <c r="O5" t="inlineStr"/>
      <c r="Q5" t="inlineStr">
        <is>
          <t>verified_observed</t>
        </is>
      </c>
      <c r="R5" t="n">
        <v>550</v>
      </c>
      <c r="S5" s="2" t="inlineStr">
        <is>
          <t>assumption</t>
        </is>
      </c>
      <c r="T5" t="inlineStr"/>
      <c r="U5" t="inlineStr"/>
      <c r="V5" t="inlineStr"/>
      <c r="W5" t="n">
        <v>88000</v>
      </c>
      <c r="X5" t="inlineStr"/>
      <c r="Y5" t="inlineStr">
        <is>
          <t>ok</t>
        </is>
      </c>
      <c r="Z5" t="n">
        <v>550</v>
      </c>
    </row>
    <row r="6">
      <c r="A6" t="inlineStr">
        <is>
          <t>China</t>
        </is>
      </c>
      <c r="B6" t="inlineStr">
        <is>
          <t>Total Laptops demand</t>
        </is>
      </c>
      <c r="C6" t="inlineStr">
        <is>
          <t>physical_consumption</t>
        </is>
      </c>
      <c r="D6" t="inlineStr">
        <is>
          <t>National smartphone shipments (apparent consumption)</t>
        </is>
      </c>
      <c r="E6" t="inlineStr">
        <is>
          <t>smartphones (units shipped)</t>
        </is>
      </c>
      <c r="F6" t="inlineStr">
        <is>
          <t>smartphones (units shipped)</t>
        </is>
      </c>
      <c r="G6" t="inlineStr">
        <is>
          <t>driver_value * intensity_value</t>
        </is>
      </c>
      <c r="H6" t="inlineStr">
        <is>
          <t>reused</t>
        </is>
      </c>
      <c r="I6" t="n">
        <v>350000000</v>
      </c>
      <c r="J6" s="2" t="inlineStr">
        <is>
          <t>assumption</t>
        </is>
      </c>
      <c r="K6" t="inlineStr">
        <is>
          <t>No country, regional, or global evidence found -- best-informed assumption.</t>
        </is>
      </c>
      <c r="L6" s="2" t="inlineStr">
        <is>
          <t>assumption</t>
        </is>
      </c>
      <c r="M6" t="inlineStr"/>
      <c r="N6" t="inlineStr"/>
      <c r="O6" t="inlineStr"/>
      <c r="Q6" t="inlineStr">
        <is>
          <t>verified_observed</t>
        </is>
      </c>
      <c r="R6" t="n">
        <v>550</v>
      </c>
      <c r="S6" s="2" t="inlineStr">
        <is>
          <t>assumption</t>
        </is>
      </c>
      <c r="T6" t="inlineStr"/>
      <c r="U6" t="inlineStr"/>
      <c r="V6" t="inlineStr"/>
      <c r="W6" t="n">
        <v>192500</v>
      </c>
      <c r="X6" t="inlineStr"/>
      <c r="Y6" t="inlineStr">
        <is>
          <t>ok</t>
        </is>
      </c>
      <c r="Z6" t="n">
        <v>550</v>
      </c>
    </row>
    <row r="7">
      <c r="A7" t="inlineStr">
        <is>
          <t>Japan</t>
        </is>
      </c>
      <c r="B7" t="inlineStr">
        <is>
          <t>Total Laptops demand</t>
        </is>
      </c>
      <c r="C7" t="inlineStr">
        <is>
          <t>physical_consumption</t>
        </is>
      </c>
      <c r="D7" t="inlineStr">
        <is>
          <t>National smartphone shipments (apparent consumption)</t>
        </is>
      </c>
      <c r="E7" t="inlineStr">
        <is>
          <t>smartphones (units shipped)</t>
        </is>
      </c>
      <c r="F7" t="inlineStr">
        <is>
          <t>smartphones (units shipped)</t>
        </is>
      </c>
      <c r="G7" t="inlineStr">
        <is>
          <t>driver_value * intensity_value</t>
        </is>
      </c>
      <c r="H7" t="inlineStr">
        <is>
          <t>reused</t>
        </is>
      </c>
      <c r="I7" t="n">
        <v>30000000</v>
      </c>
      <c r="J7" s="2" t="inlineStr">
        <is>
          <t>assumption</t>
        </is>
      </c>
      <c r="K7" t="inlineStr">
        <is>
          <t>No country, regional, or global evidence found -- best-informed assumption.</t>
        </is>
      </c>
      <c r="L7" s="2" t="inlineStr">
        <is>
          <t>assumption</t>
        </is>
      </c>
      <c r="M7" t="inlineStr"/>
      <c r="N7" t="inlineStr"/>
      <c r="O7" t="inlineStr"/>
      <c r="Q7" t="inlineStr">
        <is>
          <t>verified_observed</t>
        </is>
      </c>
      <c r="R7" t="n">
        <v>550</v>
      </c>
      <c r="S7" s="2" t="inlineStr">
        <is>
          <t>assumption</t>
        </is>
      </c>
      <c r="T7" t="inlineStr"/>
      <c r="U7" t="inlineStr"/>
      <c r="V7" t="inlineStr"/>
      <c r="W7" t="n">
        <v>16500</v>
      </c>
      <c r="X7" t="inlineStr"/>
      <c r="Y7" t="inlineStr">
        <is>
          <t>ok</t>
        </is>
      </c>
      <c r="Z7" t="n">
        <v>550</v>
      </c>
    </row>
    <row r="8">
      <c r="A8" t="inlineStr">
        <is>
          <t>Germany</t>
        </is>
      </c>
      <c r="B8" t="inlineStr">
        <is>
          <t>Total Laptops demand</t>
        </is>
      </c>
      <c r="C8" t="inlineStr">
        <is>
          <t>physical_consumption</t>
        </is>
      </c>
      <c r="D8" t="inlineStr">
        <is>
          <t>National smartphone shipments (apparent consumption)</t>
        </is>
      </c>
      <c r="E8" t="inlineStr">
        <is>
          <t>smartphones (units shipped)</t>
        </is>
      </c>
      <c r="F8" t="inlineStr">
        <is>
          <t>smartphones (units shipped)</t>
        </is>
      </c>
      <c r="G8" t="inlineStr">
        <is>
          <t>driver_value * intensity_value</t>
        </is>
      </c>
      <c r="H8" t="inlineStr">
        <is>
          <t>reused</t>
        </is>
      </c>
      <c r="I8" t="n">
        <v>22000000</v>
      </c>
      <c r="J8" s="2" t="inlineStr">
        <is>
          <t>assumption</t>
        </is>
      </c>
      <c r="K8" t="inlineStr">
        <is>
          <t>No country, regional, or global evidence found -- best-informed assumption.</t>
        </is>
      </c>
      <c r="L8" s="2" t="inlineStr">
        <is>
          <t>assumption</t>
        </is>
      </c>
      <c r="M8" t="inlineStr"/>
      <c r="N8" t="inlineStr"/>
      <c r="O8" t="inlineStr"/>
      <c r="Q8" t="inlineStr">
        <is>
          <t>verified_observed</t>
        </is>
      </c>
      <c r="R8" t="n">
        <v>550</v>
      </c>
      <c r="S8" s="2" t="inlineStr">
        <is>
          <t>assumption</t>
        </is>
      </c>
      <c r="T8" t="inlineStr"/>
      <c r="U8" t="inlineStr"/>
      <c r="V8" t="inlineStr"/>
      <c r="W8" t="n">
        <v>12100</v>
      </c>
      <c r="X8" t="inlineStr"/>
      <c r="Y8" t="inlineStr">
        <is>
          <t>ok</t>
        </is>
      </c>
      <c r="Z8" t="n">
        <v>550</v>
      </c>
    </row>
    <row r="9">
      <c r="A9" t="inlineStr">
        <is>
          <t>United Kingdom</t>
        </is>
      </c>
      <c r="B9" t="inlineStr">
        <is>
          <t>Total Laptops demand</t>
        </is>
      </c>
      <c r="C9" t="inlineStr">
        <is>
          <t>physical_consumption</t>
        </is>
      </c>
      <c r="D9" t="inlineStr">
        <is>
          <t>National smartphone shipments (apparent consumption)</t>
        </is>
      </c>
      <c r="E9" t="inlineStr">
        <is>
          <t>smartphones (units shipped)</t>
        </is>
      </c>
      <c r="F9" t="inlineStr">
        <is>
          <t>smartphones (units shipped)</t>
        </is>
      </c>
      <c r="G9" t="inlineStr">
        <is>
          <t>driver_value * intensity_value</t>
        </is>
      </c>
      <c r="H9" t="inlineStr">
        <is>
          <t>reused</t>
        </is>
      </c>
      <c r="I9" t="n">
        <v>25000000</v>
      </c>
      <c r="J9" s="2" t="inlineStr">
        <is>
          <t>assumption</t>
        </is>
      </c>
      <c r="K9" t="inlineStr">
        <is>
          <t>No country, regional, or global evidence found -- best-informed assumption.</t>
        </is>
      </c>
      <c r="L9" s="2" t="inlineStr">
        <is>
          <t>assumption</t>
        </is>
      </c>
      <c r="M9" t="inlineStr"/>
      <c r="N9" t="inlineStr"/>
      <c r="O9" t="inlineStr"/>
      <c r="Q9" t="inlineStr">
        <is>
          <t>verified_observed</t>
        </is>
      </c>
      <c r="R9" t="n">
        <v>550</v>
      </c>
      <c r="S9" s="2" t="inlineStr">
        <is>
          <t>assumption</t>
        </is>
      </c>
      <c r="T9" t="inlineStr"/>
      <c r="U9" t="inlineStr"/>
      <c r="V9" t="inlineStr"/>
      <c r="W9" t="n">
        <v>13750</v>
      </c>
      <c r="X9" t="inlineStr"/>
      <c r="Y9" t="inlineStr">
        <is>
          <t>ok</t>
        </is>
      </c>
      <c r="Z9" t="n">
        <v>550</v>
      </c>
    </row>
    <row r="10">
      <c r="A10" t="inlineStr">
        <is>
          <t>India</t>
        </is>
      </c>
      <c r="B10" t="inlineStr">
        <is>
          <t>Total Laptops demand</t>
        </is>
      </c>
      <c r="C10" t="inlineStr">
        <is>
          <t>physical_consumption</t>
        </is>
      </c>
      <c r="D10" t="inlineStr">
        <is>
          <t>National smartphone shipments (apparent consumption)</t>
        </is>
      </c>
      <c r="E10" t="inlineStr">
        <is>
          <t>smartphones (units shipped)</t>
        </is>
      </c>
      <c r="F10" t="inlineStr">
        <is>
          <t>smartphones (units shipped)</t>
        </is>
      </c>
      <c r="G10" t="inlineStr">
        <is>
          <t>driver_value * intensity_value</t>
        </is>
      </c>
      <c r="H10" t="inlineStr">
        <is>
          <t>reused</t>
        </is>
      </c>
      <c r="I10" t="n">
        <v>150000000</v>
      </c>
      <c r="J10" s="2" t="inlineStr">
        <is>
          <t>assumption</t>
        </is>
      </c>
      <c r="K10" t="inlineStr">
        <is>
          <t>No country, regional, or global evidence found -- best-informed assumption.</t>
        </is>
      </c>
      <c r="L10" s="2" t="inlineStr">
        <is>
          <t>assumption</t>
        </is>
      </c>
      <c r="M10" t="inlineStr"/>
      <c r="N10" t="inlineStr"/>
      <c r="O10" t="inlineStr"/>
      <c r="Q10" t="inlineStr">
        <is>
          <t>verified_observed</t>
        </is>
      </c>
      <c r="R10" t="n">
        <v>550</v>
      </c>
      <c r="S10" s="2" t="inlineStr">
        <is>
          <t>assumption</t>
        </is>
      </c>
      <c r="T10" t="inlineStr"/>
      <c r="U10" t="inlineStr"/>
      <c r="V10" t="inlineStr"/>
      <c r="W10" t="n">
        <v>82500</v>
      </c>
      <c r="X10" t="inlineStr"/>
      <c r="Y10" t="inlineStr">
        <is>
          <t>ok</t>
        </is>
      </c>
      <c r="Z10" t="n">
        <v>550</v>
      </c>
    </row>
    <row r="11">
      <c r="A11" t="inlineStr">
        <is>
          <t>South Korea</t>
        </is>
      </c>
      <c r="B11" t="inlineStr">
        <is>
          <t>Total Laptops demand</t>
        </is>
      </c>
      <c r="C11" t="inlineStr">
        <is>
          <t>physical_consumption</t>
        </is>
      </c>
      <c r="D11" t="inlineStr">
        <is>
          <t>National smartphone shipments (apparent consumption)</t>
        </is>
      </c>
      <c r="E11" t="inlineStr">
        <is>
          <t>smartphones (units shipped)</t>
        </is>
      </c>
      <c r="F11" t="inlineStr">
        <is>
          <t>smartphones (units shipped)</t>
        </is>
      </c>
      <c r="G11" t="inlineStr">
        <is>
          <t>driver_value * intensity_value</t>
        </is>
      </c>
      <c r="H11" t="inlineStr">
        <is>
          <t>reused</t>
        </is>
      </c>
      <c r="I11" t="n">
        <v>20000000</v>
      </c>
      <c r="J11" s="2" t="inlineStr">
        <is>
          <t>assumption</t>
        </is>
      </c>
      <c r="K11" t="inlineStr">
        <is>
          <t>No country, regional, or global evidence found -- best-informed assumption.</t>
        </is>
      </c>
      <c r="L11" s="2" t="inlineStr">
        <is>
          <t>assumption</t>
        </is>
      </c>
      <c r="M11" t="inlineStr"/>
      <c r="N11" t="inlineStr"/>
      <c r="O11" t="inlineStr"/>
      <c r="Q11" t="inlineStr">
        <is>
          <t>verified_observed</t>
        </is>
      </c>
      <c r="R11" t="n">
        <v>550</v>
      </c>
      <c r="S11" s="2" t="inlineStr">
        <is>
          <t>assumption</t>
        </is>
      </c>
      <c r="T11" t="inlineStr"/>
      <c r="U11" t="inlineStr"/>
      <c r="V11" t="inlineStr"/>
      <c r="W11" t="n">
        <v>11000</v>
      </c>
      <c r="X11" t="inlineStr"/>
      <c r="Y11" t="inlineStr">
        <is>
          <t>ok</t>
        </is>
      </c>
      <c r="Z11" t="n">
        <v>550</v>
      </c>
    </row>
    <row r="12">
      <c r="A12" t="inlineStr">
        <is>
          <t>France</t>
        </is>
      </c>
      <c r="B12" t="inlineStr">
        <is>
          <t>Total Laptops demand</t>
        </is>
      </c>
      <c r="C12" t="inlineStr">
        <is>
          <t>physical_consumption</t>
        </is>
      </c>
      <c r="D12" t="inlineStr">
        <is>
          <t>National smartphone shipments (apparent consumption)</t>
        </is>
      </c>
      <c r="E12" t="inlineStr">
        <is>
          <t>smartphones (units shipped)</t>
        </is>
      </c>
      <c r="F12" t="inlineStr">
        <is>
          <t>smartphones (units shipped)</t>
        </is>
      </c>
      <c r="G12" t="inlineStr">
        <is>
          <t>driver_value * intensity_value</t>
        </is>
      </c>
      <c r="H12" t="inlineStr">
        <is>
          <t>reused</t>
        </is>
      </c>
      <c r="I12" t="n">
        <v>20000000</v>
      </c>
      <c r="J12" s="2" t="inlineStr">
        <is>
          <t>assumption</t>
        </is>
      </c>
      <c r="K12" t="inlineStr">
        <is>
          <t>No country, regional, or global evidence found -- best-informed assumption.</t>
        </is>
      </c>
      <c r="L12" s="2" t="inlineStr">
        <is>
          <t>assumption</t>
        </is>
      </c>
      <c r="M12" t="inlineStr"/>
      <c r="N12" t="inlineStr"/>
      <c r="O12" t="inlineStr"/>
      <c r="Q12" t="inlineStr">
        <is>
          <t>verified_observed</t>
        </is>
      </c>
      <c r="R12" t="n">
        <v>550</v>
      </c>
      <c r="S12" s="2" t="inlineStr">
        <is>
          <t>assumption</t>
        </is>
      </c>
      <c r="T12" t="inlineStr"/>
      <c r="U12" t="inlineStr"/>
      <c r="V12" t="inlineStr"/>
      <c r="W12" t="n">
        <v>11000</v>
      </c>
      <c r="X12" t="inlineStr"/>
      <c r="Y12" t="inlineStr">
        <is>
          <t>ok</t>
        </is>
      </c>
      <c r="Z12" t="n">
        <v>550</v>
      </c>
    </row>
    <row r="13">
      <c r="A13" t="inlineStr">
        <is>
          <t>Canada</t>
        </is>
      </c>
      <c r="B13" t="inlineStr">
        <is>
          <t>Total Laptops demand</t>
        </is>
      </c>
      <c r="C13" t="inlineStr">
        <is>
          <t>physical_consumption</t>
        </is>
      </c>
      <c r="D13" t="inlineStr">
        <is>
          <t>National smartphone shipments (apparent consumption)</t>
        </is>
      </c>
      <c r="E13" t="inlineStr">
        <is>
          <t>smartphones (units shipped)</t>
        </is>
      </c>
      <c r="F13" t="inlineStr">
        <is>
          <t>smartphones (units shipped)</t>
        </is>
      </c>
      <c r="G13" t="inlineStr">
        <is>
          <t>driver_value * intensity_value</t>
        </is>
      </c>
      <c r="H13" t="inlineStr">
        <is>
          <t>reused</t>
        </is>
      </c>
      <c r="I13" t="n">
        <v>15000000</v>
      </c>
      <c r="J13" s="2" t="inlineStr">
        <is>
          <t>assumption</t>
        </is>
      </c>
      <c r="K13" t="inlineStr">
        <is>
          <t>No country, regional, or global evidence found -- best-informed assumption.</t>
        </is>
      </c>
      <c r="L13" s="2" t="inlineStr">
        <is>
          <t>assumption</t>
        </is>
      </c>
      <c r="M13" t="inlineStr"/>
      <c r="N13" t="inlineStr"/>
      <c r="O13" t="inlineStr"/>
      <c r="Q13" t="inlineStr">
        <is>
          <t>verified_observed</t>
        </is>
      </c>
      <c r="R13" t="n">
        <v>550</v>
      </c>
      <c r="S13" s="2" t="inlineStr">
        <is>
          <t>assumption</t>
        </is>
      </c>
      <c r="T13" t="inlineStr"/>
      <c r="U13" t="inlineStr"/>
      <c r="V13" t="inlineStr"/>
      <c r="W13" t="n">
        <v>8250</v>
      </c>
      <c r="X13" t="inlineStr"/>
      <c r="Y13" t="inlineStr">
        <is>
          <t>ok</t>
        </is>
      </c>
      <c r="Z13" t="n">
        <v>550</v>
      </c>
    </row>
    <row r="14">
      <c r="A14" t="inlineStr">
        <is>
          <t>Brazil</t>
        </is>
      </c>
      <c r="B14" t="inlineStr">
        <is>
          <t>Total Laptops demand</t>
        </is>
      </c>
      <c r="C14" t="inlineStr">
        <is>
          <t>physical_consumption</t>
        </is>
      </c>
      <c r="D14" t="inlineStr">
        <is>
          <t>National smartphone shipments (apparent consumption)</t>
        </is>
      </c>
      <c r="E14" t="inlineStr">
        <is>
          <t>smartphones (units shipped)</t>
        </is>
      </c>
      <c r="F14" t="inlineStr">
        <is>
          <t>smartphones (units shipped)</t>
        </is>
      </c>
      <c r="G14" t="inlineStr">
        <is>
          <t>driver_value * intensity_value</t>
        </is>
      </c>
      <c r="H14" t="inlineStr">
        <is>
          <t>reused</t>
        </is>
      </c>
      <c r="I14" t="n">
        <v>40000000</v>
      </c>
      <c r="J14" s="2" t="inlineStr">
        <is>
          <t>assumption</t>
        </is>
      </c>
      <c r="K14" t="inlineStr">
        <is>
          <t>No country, regional, or global evidence found -- best-informed assumption.</t>
        </is>
      </c>
      <c r="L14" s="2" t="inlineStr">
        <is>
          <t>assumption</t>
        </is>
      </c>
      <c r="M14" t="inlineStr"/>
      <c r="N14" t="inlineStr"/>
      <c r="O14" t="inlineStr"/>
      <c r="Q14" t="inlineStr">
        <is>
          <t>verified_observed</t>
        </is>
      </c>
      <c r="R14" t="n">
        <v>550</v>
      </c>
      <c r="S14" s="2" t="inlineStr">
        <is>
          <t>assumption</t>
        </is>
      </c>
      <c r="T14" t="inlineStr"/>
      <c r="U14" t="inlineStr"/>
      <c r="V14" t="inlineStr"/>
      <c r="W14" t="n">
        <v>22000</v>
      </c>
      <c r="X14" t="inlineStr"/>
      <c r="Y14" t="inlineStr">
        <is>
          <t>ok</t>
        </is>
      </c>
      <c r="Z14" t="n">
        <v>550</v>
      </c>
    </row>
    <row r="15">
      <c r="A15" t="inlineStr">
        <is>
          <t>Australia</t>
        </is>
      </c>
      <c r="B15" t="inlineStr">
        <is>
          <t>Total Laptops demand</t>
        </is>
      </c>
      <c r="C15" t="inlineStr">
        <is>
          <t>physical_consumption</t>
        </is>
      </c>
      <c r="D15" t="inlineStr">
        <is>
          <t>National smartphone shipments (apparent consumption)</t>
        </is>
      </c>
      <c r="E15" t="inlineStr">
        <is>
          <t>smartphones (units shipped)</t>
        </is>
      </c>
      <c r="F15" t="inlineStr">
        <is>
          <t>smartphones (units shipped)</t>
        </is>
      </c>
      <c r="G15" t="inlineStr">
        <is>
          <t>driver_value * intensity_value</t>
        </is>
      </c>
      <c r="H15" t="inlineStr">
        <is>
          <t>reused</t>
        </is>
      </c>
      <c r="I15" t="n">
        <v>10000000</v>
      </c>
      <c r="J15" s="2" t="inlineStr">
        <is>
          <t>assumption</t>
        </is>
      </c>
      <c r="K15" t="inlineStr">
        <is>
          <t>No country, regional, or global evidence found -- best-informed assumption.</t>
        </is>
      </c>
      <c r="L15" s="2" t="inlineStr">
        <is>
          <t>assumption</t>
        </is>
      </c>
      <c r="M15" t="inlineStr"/>
      <c r="N15" t="inlineStr"/>
      <c r="O15" t="inlineStr"/>
      <c r="Q15" t="inlineStr">
        <is>
          <t>verified_observed</t>
        </is>
      </c>
      <c r="R15" t="n">
        <v>550</v>
      </c>
      <c r="S15" s="2" t="inlineStr">
        <is>
          <t>assumption</t>
        </is>
      </c>
      <c r="T15" t="inlineStr"/>
      <c r="U15" t="inlineStr"/>
      <c r="V15" t="inlineStr"/>
      <c r="W15" t="n">
        <v>5500</v>
      </c>
      <c r="X15" t="inlineStr"/>
      <c r="Y15" t="inlineStr">
        <is>
          <t>ok</t>
        </is>
      </c>
      <c r="Z15" t="n">
        <v>550</v>
      </c>
    </row>
    <row r="16">
      <c r="A16" t="inlineStr">
        <is>
          <t>Netherlands</t>
        </is>
      </c>
      <c r="B16" t="inlineStr">
        <is>
          <t>Total Laptops demand</t>
        </is>
      </c>
      <c r="C16" t="inlineStr">
        <is>
          <t>physical_consumption</t>
        </is>
      </c>
      <c r="D16" t="inlineStr">
        <is>
          <t>National smartphone shipments (apparent consumption)</t>
        </is>
      </c>
      <c r="E16" t="inlineStr">
        <is>
          <t>smartphones (units shipped)</t>
        </is>
      </c>
      <c r="F16" t="inlineStr">
        <is>
          <t>smartphones (units shipped)</t>
        </is>
      </c>
      <c r="G16" t="inlineStr">
        <is>
          <t>driver_value * intensity_value</t>
        </is>
      </c>
      <c r="H16" t="inlineStr">
        <is>
          <t>reused</t>
        </is>
      </c>
      <c r="I16" t="n">
        <v>5000000</v>
      </c>
      <c r="J16" s="2" t="inlineStr">
        <is>
          <t>assumption</t>
        </is>
      </c>
      <c r="K16" t="inlineStr">
        <is>
          <t>No country, regional, or global evidence found -- best-informed assumption.</t>
        </is>
      </c>
      <c r="L16" s="2" t="inlineStr">
        <is>
          <t>assumption</t>
        </is>
      </c>
      <c r="M16" t="inlineStr"/>
      <c r="N16" t="inlineStr"/>
      <c r="O16" t="inlineStr"/>
      <c r="Q16" t="inlineStr">
        <is>
          <t>verified_observed</t>
        </is>
      </c>
      <c r="R16" t="n">
        <v>550</v>
      </c>
      <c r="S16" s="2" t="inlineStr">
        <is>
          <t>assumption</t>
        </is>
      </c>
      <c r="T16" t="inlineStr"/>
      <c r="U16" t="inlineStr"/>
      <c r="V16" t="inlineStr"/>
      <c r="W16" t="n">
        <v>2750</v>
      </c>
      <c r="X16" t="inlineStr"/>
      <c r="Y16" t="inlineStr">
        <is>
          <t>ok</t>
        </is>
      </c>
      <c r="Z16" t="n">
        <v>550</v>
      </c>
    </row>
    <row r="17">
      <c r="A17" t="inlineStr">
        <is>
          <t>Rest of World</t>
        </is>
      </c>
      <c r="B17" t="inlineStr">
        <is>
          <t>Total Laptops demand</t>
        </is>
      </c>
      <c r="C17" t="inlineStr">
        <is>
          <t>physical_consumption</t>
        </is>
      </c>
      <c r="D17" t="inlineStr">
        <is>
          <t>National smartphone shipments (apparent consumption)</t>
        </is>
      </c>
      <c r="E17" t="inlineStr">
        <is>
          <t>smartphones (units shipped)</t>
        </is>
      </c>
      <c r="F17" t="inlineStr">
        <is>
          <t>smartphones (units shipped)</t>
        </is>
      </c>
      <c r="G17" t="inlineStr">
        <is>
          <t>driver_value * intensity_value</t>
        </is>
      </c>
      <c r="H17" t="inlineStr">
        <is>
          <t>reused</t>
        </is>
      </c>
      <c r="I17" t="n">
        <v>300000000</v>
      </c>
      <c r="J17" s="2" t="inlineStr">
        <is>
          <t>assumption</t>
        </is>
      </c>
      <c r="K17" t="inlineStr">
        <is>
          <t>No country, regional, or global evidence found -- best-informed assumption.</t>
        </is>
      </c>
      <c r="L17" s="2" t="inlineStr">
        <is>
          <t>assumption</t>
        </is>
      </c>
      <c r="M17" t="inlineStr"/>
      <c r="N17" t="inlineStr"/>
      <c r="O17" t="inlineStr"/>
      <c r="Q17" t="inlineStr">
        <is>
          <t>verified_observed</t>
        </is>
      </c>
      <c r="R17" t="n">
        <v>550</v>
      </c>
      <c r="S17" s="2" t="inlineStr">
        <is>
          <t>assumption</t>
        </is>
      </c>
      <c r="T17" t="inlineStr"/>
      <c r="U17" t="inlineStr"/>
      <c r="V17" t="inlineStr"/>
      <c r="W17" t="n">
        <v>165000</v>
      </c>
      <c r="X17" t="inlineStr"/>
      <c r="Y17" t="inlineStr">
        <is>
          <t>ok</t>
        </is>
      </c>
      <c r="Z17" t="n">
        <v>550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Laptops</t>
        </is>
      </c>
    </row>
    <row r="2">
      <c r="A2" s="1" t="inlineStr">
        <is>
          <t>Scope</t>
        </is>
      </c>
      <c r="B2" t="inlineStr">
        <is>
          <t>This market covers new, first-sale laptop computers (including traditional clamshell notebooks, 2-in-1 convertibles, and dual-screen laptops) valued as complete, branded devices at the point of original sale. It excludes refurbished or used laptops, which are separately valued in the secondary market, as well as tablets, smartphones, desktop PCs, and standalone components (processors, displays, batteries) that are not sold as a complete laptop. Component and refurbishment activity is used only as intermediate evidence for how many new laptops are required by a given usage bucket, never priced as part of this market.</t>
        </is>
      </c>
    </row>
    <row r="3">
      <c r="A3" s="1" t="inlineStr">
        <is>
          <t>Geography</t>
        </is>
      </c>
      <c r="B3" t="inlineStr">
        <is>
          <t>United States, China, Japan, Germany, United Kingdom, India, South Korea, France, Canada, Brazil, Australia, Netherlands, Rest of World</t>
        </is>
      </c>
    </row>
    <row r="4">
      <c r="A4" s="1" t="inlineStr">
        <is>
          <t>Base Year</t>
        </is>
      </c>
      <c r="B4" t="n">
        <v>2025</v>
      </c>
    </row>
    <row r="5">
      <c r="A5" s="1" t="inlineStr">
        <is>
          <t>Market Unit</t>
        </is>
      </c>
      <c r="B5" t="inlineStr">
        <is>
          <t>USD Bn</t>
        </is>
      </c>
    </row>
    <row r="6">
      <c r="A6" s="1" t="inlineStr">
        <is>
          <t>Physical Unit</t>
        </is>
      </c>
      <c r="B6" t="inlineStr">
        <is>
          <t>laptops (units shipped)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(no scope validation flags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8"/>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Total Laptops demand</t>
        </is>
      </c>
      <c r="C2" t="inlineStr">
        <is>
          <t>United States</t>
        </is>
      </c>
      <c r="D2" t="n">
        <v>1</v>
      </c>
      <c r="E2" t="inlineStr">
        <is>
          <t>Evidence Strategy source</t>
        </is>
      </c>
      <c r="F2" t="inlineStr">
        <is>
          <t>web_page</t>
        </is>
      </c>
      <c r="G2" t="inlineStr">
        <is>
          <t>United States National smartphone shipments (apparent consumption) smartphones (units shipped)</t>
        </is>
      </c>
      <c r="H2" t="n">
        <v>5</v>
      </c>
      <c r="I2" s="2" t="inlineStr">
        <is>
          <t>no</t>
        </is>
      </c>
      <c r="J2" t="inlineStr"/>
      <c r="K2" t="inlineStr"/>
      <c r="L2" t="inlineStr"/>
      <c r="M2" t="inlineStr"/>
      <c r="N2" t="inlineStr"/>
      <c r="O2" t="inlineStr"/>
      <c r="P2" t="inlineStr"/>
      <c r="Q2" t="inlineStr">
        <is>
          <t>extraction_failed</t>
        </is>
      </c>
    </row>
    <row r="3">
      <c r="A3" t="inlineStr">
        <is>
          <t>Driver</t>
        </is>
      </c>
      <c r="B3" t="inlineStr">
        <is>
          <t>Total Laptops demand</t>
        </is>
      </c>
      <c r="C3" t="inlineStr">
        <is>
          <t>United States</t>
        </is>
      </c>
      <c r="D3" t="n">
        <v>2</v>
      </c>
      <c r="E3" t="inlineStr">
        <is>
          <t>IDC Worldwide Quarterly Mobile Phone Tracker</t>
        </is>
      </c>
      <c r="F3" t="inlineStr">
        <is>
          <t>web_page</t>
        </is>
      </c>
      <c r="G3" t="inlineStr">
        <is>
          <t>site:idc.com United States smartphone shipments units quarterly</t>
        </is>
      </c>
      <c r="H3" t="n">
        <v>5</v>
      </c>
      <c r="I3" s="2" t="inlineStr">
        <is>
          <t>no</t>
        </is>
      </c>
      <c r="J3" t="inlineStr"/>
      <c r="K3" t="inlineStr"/>
      <c r="L3" t="inlineStr"/>
      <c r="M3" t="inlineStr"/>
      <c r="N3" t="inlineStr"/>
      <c r="O3" t="inlineStr"/>
      <c r="P3" t="inlineStr"/>
      <c r="Q3" t="inlineStr">
        <is>
          <t>extraction_failed</t>
        </is>
      </c>
    </row>
    <row r="4">
      <c r="A4" t="inlineStr">
        <is>
          <t>Driver</t>
        </is>
      </c>
      <c r="B4" t="inlineStr">
        <is>
          <t>Total Laptops demand</t>
        </is>
      </c>
      <c r="C4" t="inlineStr">
        <is>
          <t>United States</t>
        </is>
      </c>
      <c r="D4" t="n">
        <v>3</v>
      </c>
      <c r="E4" t="inlineStr">
        <is>
          <t>Canalys Smartphone Market Pulse</t>
        </is>
      </c>
      <c r="F4" t="inlineStr">
        <is>
          <t>web_page</t>
        </is>
      </c>
      <c r="G4" t="inlineStr">
        <is>
          <t>site:canalys.com United States smartphone shipments million units</t>
        </is>
      </c>
      <c r="H4" t="n">
        <v>0</v>
      </c>
      <c r="I4" s="2" t="inlineStr">
        <is>
          <t>no</t>
        </is>
      </c>
      <c r="J4" t="inlineStr"/>
      <c r="K4" t="inlineStr"/>
      <c r="L4" t="inlineStr"/>
      <c r="M4" t="inlineStr"/>
      <c r="N4" t="inlineStr"/>
      <c r="O4" t="inlineStr"/>
      <c r="P4" t="inlineStr"/>
      <c r="Q4" t="inlineStr">
        <is>
          <t>no_source_found</t>
        </is>
      </c>
    </row>
    <row r="5">
      <c r="A5" t="inlineStr">
        <is>
          <t>Driver</t>
        </is>
      </c>
      <c r="B5" t="inlineStr">
        <is>
          <t>Total Laptops demand</t>
        </is>
      </c>
      <c r="C5" t="inlineStr">
        <is>
          <t>United States</t>
        </is>
      </c>
      <c r="D5" t="n">
        <v>4</v>
      </c>
      <c r="E5" t="inlineStr">
        <is>
          <t>Counterpoint Research Market Monitor</t>
        </is>
      </c>
      <c r="F5" t="inlineStr">
        <is>
          <t>web_page</t>
        </is>
      </c>
      <c r="G5" t="inlineStr">
        <is>
          <t>site:counterpointresearch.com United States smartphone shipments units</t>
        </is>
      </c>
      <c r="H5" t="n">
        <v>0</v>
      </c>
      <c r="I5" s="2" t="inlineStr">
        <is>
          <t>no</t>
        </is>
      </c>
      <c r="J5" t="inlineStr"/>
      <c r="K5" t="inlineStr"/>
      <c r="L5" t="inlineStr"/>
      <c r="M5" t="inlineStr"/>
      <c r="N5" t="inlineStr"/>
      <c r="O5" t="inlineStr"/>
      <c r="P5" t="inlineStr"/>
      <c r="Q5" t="inlineStr">
        <is>
          <t>no_source_found</t>
        </is>
      </c>
    </row>
    <row r="6">
      <c r="A6" t="inlineStr">
        <is>
          <t>Driver</t>
        </is>
      </c>
      <c r="B6" t="inlineStr">
        <is>
          <t>Total Laptops demand</t>
        </is>
      </c>
      <c r="C6" t="inlineStr">
        <is>
          <t>United States</t>
        </is>
      </c>
      <c r="D6" t="n">
        <v>5</v>
      </c>
      <c r="E6" t="inlineStr">
        <is>
          <t>LLM best-effort claim(s)</t>
        </is>
      </c>
      <c r="F6" t="inlineStr">
        <is>
          <t>llm_claim</t>
        </is>
      </c>
      <c r="G6" t="inlineStr"/>
      <c r="H6" t="n">
        <v>0</v>
      </c>
      <c r="I6" s="2" t="inlineStr">
        <is>
          <t>no</t>
        </is>
      </c>
      <c r="J6" t="inlineStr"/>
      <c r="K6" t="inlineStr"/>
      <c r="L6" t="inlineStr"/>
      <c r="M6" t="inlineStr"/>
      <c r="N6" t="inlineStr"/>
      <c r="O6" t="inlineStr"/>
      <c r="P6" t="inlineStr"/>
      <c r="Q6" t="inlineStr">
        <is>
          <t>no_specific_claim</t>
        </is>
      </c>
    </row>
    <row r="7">
      <c r="A7" t="inlineStr">
        <is>
          <t>Driver</t>
        </is>
      </c>
      <c r="B7" t="inlineStr">
        <is>
          <t>Total Laptops demand</t>
        </is>
      </c>
      <c r="C7" t="inlineStr">
        <is>
          <t>China</t>
        </is>
      </c>
      <c r="D7" t="n">
        <v>1</v>
      </c>
      <c r="E7" t="inlineStr">
        <is>
          <t>Evidence Strategy source</t>
        </is>
      </c>
      <c r="F7" t="inlineStr">
        <is>
          <t>web_page</t>
        </is>
      </c>
      <c r="G7" t="inlineStr">
        <is>
          <t>China National smartphone shipments (apparent consumption) smartphones (units shipped)</t>
        </is>
      </c>
      <c r="H7" t="n">
        <v>5</v>
      </c>
      <c r="I7" s="2" t="inlineStr">
        <is>
          <t>no</t>
        </is>
      </c>
      <c r="J7" t="inlineStr"/>
      <c r="K7" t="inlineStr"/>
      <c r="L7" t="inlineStr"/>
      <c r="M7" t="inlineStr"/>
      <c r="N7" t="inlineStr"/>
      <c r="O7" t="inlineStr"/>
      <c r="P7" t="inlineStr"/>
      <c r="Q7" t="inlineStr">
        <is>
          <t>extraction_failed</t>
        </is>
      </c>
    </row>
    <row r="8">
      <c r="A8" t="inlineStr">
        <is>
          <t>Driver</t>
        </is>
      </c>
      <c r="B8" t="inlineStr">
        <is>
          <t>Total Laptops demand</t>
        </is>
      </c>
      <c r="C8" t="inlineStr">
        <is>
          <t>China</t>
        </is>
      </c>
      <c r="D8" t="n">
        <v>2</v>
      </c>
      <c r="E8" t="inlineStr">
        <is>
          <t>IDC Worldwide Quarterly Mobile Phone Tracker</t>
        </is>
      </c>
      <c r="F8" t="inlineStr">
        <is>
          <t>web_page</t>
        </is>
      </c>
      <c r="G8" t="inlineStr">
        <is>
          <t>site:idc.com China smartphone shipments units quarterly</t>
        </is>
      </c>
      <c r="H8" t="n">
        <v>5</v>
      </c>
      <c r="I8" s="2" t="inlineStr">
        <is>
          <t>no</t>
        </is>
      </c>
      <c r="J8" t="inlineStr"/>
      <c r="K8" t="inlineStr"/>
      <c r="L8" t="inlineStr"/>
      <c r="M8" t="inlineStr"/>
      <c r="N8" t="inlineStr"/>
      <c r="O8" t="inlineStr"/>
      <c r="P8" t="inlineStr"/>
      <c r="Q8" t="inlineStr">
        <is>
          <t>extraction_failed</t>
        </is>
      </c>
    </row>
    <row r="9">
      <c r="A9" t="inlineStr">
        <is>
          <t>Driver</t>
        </is>
      </c>
      <c r="B9" t="inlineStr">
        <is>
          <t>Total Laptops demand</t>
        </is>
      </c>
      <c r="C9" t="inlineStr">
        <is>
          <t>China</t>
        </is>
      </c>
      <c r="D9" t="n">
        <v>3</v>
      </c>
      <c r="E9" t="inlineStr">
        <is>
          <t>Canalys Smartphone Market Pulse</t>
        </is>
      </c>
      <c r="F9" t="inlineStr">
        <is>
          <t>web_page</t>
        </is>
      </c>
      <c r="G9" t="inlineStr">
        <is>
          <t>site:canalys.com China smartphone shipments million units</t>
        </is>
      </c>
      <c r="H9" t="n">
        <v>5</v>
      </c>
      <c r="I9" s="2" t="inlineStr">
        <is>
          <t>no</t>
        </is>
      </c>
      <c r="J9" t="inlineStr"/>
      <c r="K9" t="inlineStr"/>
      <c r="L9" t="inlineStr"/>
      <c r="M9" t="inlineStr"/>
      <c r="N9" t="inlineStr"/>
      <c r="O9" t="inlineStr"/>
      <c r="P9" t="inlineStr"/>
      <c r="Q9" t="inlineStr">
        <is>
          <t>geography_mismatch</t>
        </is>
      </c>
    </row>
    <row r="10">
      <c r="A10" t="inlineStr">
        <is>
          <t>Driver</t>
        </is>
      </c>
      <c r="B10" t="inlineStr">
        <is>
          <t>Total Laptops demand</t>
        </is>
      </c>
      <c r="C10" t="inlineStr">
        <is>
          <t>China</t>
        </is>
      </c>
      <c r="D10" t="n">
        <v>4</v>
      </c>
      <c r="E10" t="inlineStr">
        <is>
          <t>Counterpoint Research Market Monitor</t>
        </is>
      </c>
      <c r="F10" t="inlineStr">
        <is>
          <t>web_page</t>
        </is>
      </c>
      <c r="G10" t="inlineStr">
        <is>
          <t>site:counterpointresearch.com China smartphone shipments units</t>
        </is>
      </c>
      <c r="H10" t="n">
        <v>5</v>
      </c>
      <c r="I10" s="2" t="inlineStr">
        <is>
          <t>no</t>
        </is>
      </c>
      <c r="J10" t="inlineStr"/>
      <c r="K10" t="inlineStr"/>
      <c r="L10" t="inlineStr"/>
      <c r="M10" t="inlineStr"/>
      <c r="N10" t="inlineStr"/>
      <c r="O10" t="inlineStr"/>
      <c r="P10" t="inlineStr"/>
      <c r="Q10" t="inlineStr">
        <is>
          <t>extraction_failed</t>
        </is>
      </c>
    </row>
    <row r="11">
      <c r="A11" t="inlineStr">
        <is>
          <t>Driver</t>
        </is>
      </c>
      <c r="B11" t="inlineStr">
        <is>
          <t>Total Laptops demand</t>
        </is>
      </c>
      <c r="C11" t="inlineStr">
        <is>
          <t>China</t>
        </is>
      </c>
      <c r="D11" t="n">
        <v>5</v>
      </c>
      <c r="E11" t="inlineStr">
        <is>
          <t>LLM best-effort claim(s)</t>
        </is>
      </c>
      <c r="F11" t="inlineStr">
        <is>
          <t>llm_claim</t>
        </is>
      </c>
      <c r="G11" t="inlineStr"/>
      <c r="H11" t="n">
        <v>0</v>
      </c>
      <c r="I11" s="2" t="inlineStr">
        <is>
          <t>no</t>
        </is>
      </c>
      <c r="J11" t="inlineStr"/>
      <c r="K11" t="inlineStr"/>
      <c r="L11" t="inlineStr"/>
      <c r="M11" t="inlineStr"/>
      <c r="N11" t="inlineStr"/>
      <c r="O11" t="inlineStr"/>
      <c r="P11" t="inlineStr"/>
      <c r="Q11" t="inlineStr">
        <is>
          <t>no_specific_claim</t>
        </is>
      </c>
    </row>
    <row r="12">
      <c r="A12" t="inlineStr">
        <is>
          <t>Driver</t>
        </is>
      </c>
      <c r="B12" t="inlineStr">
        <is>
          <t>Total Laptops demand</t>
        </is>
      </c>
      <c r="C12" t="inlineStr">
        <is>
          <t>Japan</t>
        </is>
      </c>
      <c r="D12" t="n">
        <v>1</v>
      </c>
      <c r="E12" t="inlineStr">
        <is>
          <t>Evidence Strategy source</t>
        </is>
      </c>
      <c r="F12" t="inlineStr">
        <is>
          <t>web_page</t>
        </is>
      </c>
      <c r="G12" t="inlineStr">
        <is>
          <t>Japan National smartphone shipments (apparent consumption) smartphones (units shipped)</t>
        </is>
      </c>
      <c r="H12" t="n">
        <v>5</v>
      </c>
      <c r="I12" s="2" t="inlineStr">
        <is>
          <t>no</t>
        </is>
      </c>
      <c r="J12" t="inlineStr"/>
      <c r="K12" t="inlineStr"/>
      <c r="L12" t="inlineStr"/>
      <c r="M12" t="inlineStr"/>
      <c r="N12" t="inlineStr"/>
      <c r="O12" t="inlineStr"/>
      <c r="P12" t="inlineStr"/>
      <c r="Q12" t="inlineStr">
        <is>
          <t>extraction_failed</t>
        </is>
      </c>
    </row>
    <row r="13">
      <c r="A13" t="inlineStr">
        <is>
          <t>Driver</t>
        </is>
      </c>
      <c r="B13" t="inlineStr">
        <is>
          <t>Total Laptops demand</t>
        </is>
      </c>
      <c r="C13" t="inlineStr">
        <is>
          <t>Japan</t>
        </is>
      </c>
      <c r="D13" t="n">
        <v>2</v>
      </c>
      <c r="E13" t="inlineStr">
        <is>
          <t>IDC Worldwide Quarterly Mobile Phone Tracker</t>
        </is>
      </c>
      <c r="F13" t="inlineStr">
        <is>
          <t>web_page</t>
        </is>
      </c>
      <c r="G13" t="inlineStr">
        <is>
          <t>site:idc.com Japan smartphone shipments units quarterly</t>
        </is>
      </c>
      <c r="H13" t="n">
        <v>5</v>
      </c>
      <c r="I13" s="2" t="inlineStr">
        <is>
          <t>no</t>
        </is>
      </c>
      <c r="J13" t="inlineStr"/>
      <c r="K13" t="inlineStr"/>
      <c r="L13" t="inlineStr"/>
      <c r="M13" t="inlineStr"/>
      <c r="N13" t="inlineStr"/>
      <c r="O13" t="inlineStr"/>
      <c r="P13" t="inlineStr"/>
      <c r="Q13" t="inlineStr">
        <is>
          <t>extraction_failed</t>
        </is>
      </c>
    </row>
    <row r="14">
      <c r="A14" t="inlineStr">
        <is>
          <t>Driver</t>
        </is>
      </c>
      <c r="B14" t="inlineStr">
        <is>
          <t>Total Laptops demand</t>
        </is>
      </c>
      <c r="C14" t="inlineStr">
        <is>
          <t>Japan</t>
        </is>
      </c>
      <c r="D14" t="n">
        <v>3</v>
      </c>
      <c r="E14" t="inlineStr">
        <is>
          <t>Canalys Smartphone Market Pulse</t>
        </is>
      </c>
      <c r="F14" t="inlineStr">
        <is>
          <t>web_page</t>
        </is>
      </c>
      <c r="G14" t="inlineStr">
        <is>
          <t>site:canalys.com Japan smartphone shipments million units</t>
        </is>
      </c>
      <c r="H14" t="n">
        <v>5</v>
      </c>
      <c r="I14" s="2" t="inlineStr">
        <is>
          <t>no</t>
        </is>
      </c>
      <c r="J14" t="inlineStr"/>
      <c r="K14" t="inlineStr"/>
      <c r="L14" t="inlineStr"/>
      <c r="M14" t="inlineStr"/>
      <c r="N14" t="inlineStr"/>
      <c r="O14" t="inlineStr"/>
      <c r="P14" t="inlineStr"/>
      <c r="Q14" t="inlineStr">
        <is>
          <t>extraction_failed</t>
        </is>
      </c>
    </row>
    <row r="15">
      <c r="A15" t="inlineStr">
        <is>
          <t>Driver</t>
        </is>
      </c>
      <c r="B15" t="inlineStr">
        <is>
          <t>Total Laptops demand</t>
        </is>
      </c>
      <c r="C15" t="inlineStr">
        <is>
          <t>Japan</t>
        </is>
      </c>
      <c r="D15" t="n">
        <v>4</v>
      </c>
      <c r="E15" t="inlineStr">
        <is>
          <t>Counterpoint Research Market Monitor</t>
        </is>
      </c>
      <c r="F15" t="inlineStr">
        <is>
          <t>web_page</t>
        </is>
      </c>
      <c r="G15" t="inlineStr">
        <is>
          <t>site:counterpointresearch.com Japan smartphone shipments units</t>
        </is>
      </c>
      <c r="H15" t="n">
        <v>5</v>
      </c>
      <c r="I15" s="2" t="inlineStr">
        <is>
          <t>no</t>
        </is>
      </c>
      <c r="J15" t="inlineStr"/>
      <c r="K15" t="inlineStr"/>
      <c r="L15" t="inlineStr"/>
      <c r="M15" t="inlineStr"/>
      <c r="N15" t="inlineStr"/>
      <c r="O15" t="inlineStr"/>
      <c r="P15" t="inlineStr"/>
      <c r="Q15" t="inlineStr">
        <is>
          <t>extraction_failed</t>
        </is>
      </c>
    </row>
    <row r="16">
      <c r="A16" t="inlineStr">
        <is>
          <t>Driver</t>
        </is>
      </c>
      <c r="B16" t="inlineStr">
        <is>
          <t>Total Laptops demand</t>
        </is>
      </c>
      <c r="C16" t="inlineStr">
        <is>
          <t>Japan</t>
        </is>
      </c>
      <c r="D16" t="n">
        <v>5</v>
      </c>
      <c r="E16" t="inlineStr">
        <is>
          <t>LLM best-effort claim(s)</t>
        </is>
      </c>
      <c r="F16" t="inlineStr">
        <is>
          <t>llm_claim</t>
        </is>
      </c>
      <c r="G16" t="inlineStr"/>
      <c r="H16" t="n">
        <v>0</v>
      </c>
      <c r="I16" s="2" t="inlineStr">
        <is>
          <t>no</t>
        </is>
      </c>
      <c r="J16" t="inlineStr"/>
      <c r="K16" t="inlineStr"/>
      <c r="L16" t="inlineStr"/>
      <c r="M16" t="inlineStr"/>
      <c r="N16" t="inlineStr"/>
      <c r="O16" t="inlineStr"/>
      <c r="P16" t="inlineStr"/>
      <c r="Q16" t="inlineStr">
        <is>
          <t>no_specific_claim</t>
        </is>
      </c>
    </row>
    <row r="17">
      <c r="A17" t="inlineStr">
        <is>
          <t>Driver</t>
        </is>
      </c>
      <c r="B17" t="inlineStr">
        <is>
          <t>Total Laptops demand</t>
        </is>
      </c>
      <c r="C17" t="inlineStr">
        <is>
          <t>Germany</t>
        </is>
      </c>
      <c r="D17" t="n">
        <v>1</v>
      </c>
      <c r="E17" t="inlineStr">
        <is>
          <t>Evidence Strategy source</t>
        </is>
      </c>
      <c r="F17" t="inlineStr">
        <is>
          <t>web_page</t>
        </is>
      </c>
      <c r="G17" t="inlineStr">
        <is>
          <t>Germany National smartphone shipments (apparent consumption) smartphones (units shipped)</t>
        </is>
      </c>
      <c r="H17" t="n">
        <v>5</v>
      </c>
      <c r="I17" s="2" t="inlineStr">
        <is>
          <t>no</t>
        </is>
      </c>
      <c r="J17" t="inlineStr"/>
      <c r="K17" t="inlineStr"/>
      <c r="L17" t="inlineStr"/>
      <c r="M17" t="inlineStr"/>
      <c r="N17" t="inlineStr"/>
      <c r="O17" t="inlineStr"/>
      <c r="P17" t="inlineStr"/>
      <c r="Q17" t="inlineStr">
        <is>
          <t>extraction_failed</t>
        </is>
      </c>
    </row>
    <row r="18">
      <c r="A18" t="inlineStr">
        <is>
          <t>Driver</t>
        </is>
      </c>
      <c r="B18" t="inlineStr">
        <is>
          <t>Total Laptops demand</t>
        </is>
      </c>
      <c r="C18" t="inlineStr">
        <is>
          <t>Germany</t>
        </is>
      </c>
      <c r="D18" t="n">
        <v>2</v>
      </c>
      <c r="E18" t="inlineStr">
        <is>
          <t>IDC Worldwide Quarterly Mobile Phone Tracker</t>
        </is>
      </c>
      <c r="F18" t="inlineStr">
        <is>
          <t>web_page</t>
        </is>
      </c>
      <c r="G18" t="inlineStr">
        <is>
          <t>site:idc.com Germany smartphone shipments units quarterly</t>
        </is>
      </c>
      <c r="H18" t="n">
        <v>5</v>
      </c>
      <c r="I18" s="2" t="inlineStr">
        <is>
          <t>no</t>
        </is>
      </c>
      <c r="J18" t="inlineStr"/>
      <c r="K18" t="inlineStr"/>
      <c r="L18" t="inlineStr"/>
      <c r="M18" t="inlineStr"/>
      <c r="N18" t="inlineStr"/>
      <c r="O18" t="inlineStr"/>
      <c r="P18" t="inlineStr"/>
      <c r="Q18" t="inlineStr">
        <is>
          <t>extraction_failed</t>
        </is>
      </c>
    </row>
    <row r="19">
      <c r="A19" t="inlineStr">
        <is>
          <t>Driver</t>
        </is>
      </c>
      <c r="B19" t="inlineStr">
        <is>
          <t>Total Laptops demand</t>
        </is>
      </c>
      <c r="C19" t="inlineStr">
        <is>
          <t>Germany</t>
        </is>
      </c>
      <c r="D19" t="n">
        <v>3</v>
      </c>
      <c r="E19" t="inlineStr">
        <is>
          <t>Canalys Smartphone Market Pulse</t>
        </is>
      </c>
      <c r="F19" t="inlineStr">
        <is>
          <t>web_page</t>
        </is>
      </c>
      <c r="G19" t="inlineStr">
        <is>
          <t>site:canalys.com Germany smartphone shipments million units</t>
        </is>
      </c>
      <c r="H19" t="n">
        <v>5</v>
      </c>
      <c r="I19" s="2" t="inlineStr">
        <is>
          <t>no</t>
        </is>
      </c>
      <c r="J19" t="inlineStr"/>
      <c r="K19" t="inlineStr"/>
      <c r="L19" t="inlineStr"/>
      <c r="M19" t="inlineStr"/>
      <c r="N19" t="inlineStr"/>
      <c r="O19" t="inlineStr"/>
      <c r="P19" t="inlineStr"/>
      <c r="Q19" t="inlineStr">
        <is>
          <t>extraction_failed</t>
        </is>
      </c>
    </row>
    <row r="20">
      <c r="A20" t="inlineStr">
        <is>
          <t>Driver</t>
        </is>
      </c>
      <c r="B20" t="inlineStr">
        <is>
          <t>Total Laptops demand</t>
        </is>
      </c>
      <c r="C20" t="inlineStr">
        <is>
          <t>Germany</t>
        </is>
      </c>
      <c r="D20" t="n">
        <v>4</v>
      </c>
      <c r="E20" t="inlineStr">
        <is>
          <t>Counterpoint Research Market Monitor</t>
        </is>
      </c>
      <c r="F20" t="inlineStr">
        <is>
          <t>web_page</t>
        </is>
      </c>
      <c r="G20" t="inlineStr">
        <is>
          <t>site:counterpointresearch.com Germany smartphone shipments units</t>
        </is>
      </c>
      <c r="H20" t="n">
        <v>0</v>
      </c>
      <c r="I20" s="2" t="inlineStr">
        <is>
          <t>no</t>
        </is>
      </c>
      <c r="J20" t="inlineStr"/>
      <c r="K20" t="inlineStr"/>
      <c r="L20" t="inlineStr"/>
      <c r="M20" t="inlineStr"/>
      <c r="N20" t="inlineStr"/>
      <c r="O20" t="inlineStr"/>
      <c r="P20" t="inlineStr"/>
      <c r="Q20" t="inlineStr">
        <is>
          <t>no_source_found</t>
        </is>
      </c>
    </row>
    <row r="21">
      <c r="A21" t="inlineStr">
        <is>
          <t>Driver</t>
        </is>
      </c>
      <c r="B21" t="inlineStr">
        <is>
          <t>Total Laptops demand</t>
        </is>
      </c>
      <c r="C21" t="inlineStr">
        <is>
          <t>Germany</t>
        </is>
      </c>
      <c r="D21" t="n">
        <v>5</v>
      </c>
      <c r="E21" t="inlineStr">
        <is>
          <t>LLM best-effort claim(s)</t>
        </is>
      </c>
      <c r="F21" t="inlineStr">
        <is>
          <t>llm_claim</t>
        </is>
      </c>
      <c r="G21" t="inlineStr"/>
      <c r="H21" t="n">
        <v>0</v>
      </c>
      <c r="I21" s="2" t="inlineStr">
        <is>
          <t>no</t>
        </is>
      </c>
      <c r="J21" t="inlineStr"/>
      <c r="K21" t="inlineStr"/>
      <c r="L21" t="inlineStr"/>
      <c r="M21" t="inlineStr"/>
      <c r="N21" t="inlineStr"/>
      <c r="O21" t="inlineStr"/>
      <c r="P21" t="inlineStr"/>
      <c r="Q21" t="inlineStr">
        <is>
          <t>no_specific_claim</t>
        </is>
      </c>
    </row>
    <row r="22">
      <c r="A22" t="inlineStr">
        <is>
          <t>Driver</t>
        </is>
      </c>
      <c r="B22" t="inlineStr">
        <is>
          <t>Total Laptops demand</t>
        </is>
      </c>
      <c r="C22" t="inlineStr">
        <is>
          <t>United Kingdom</t>
        </is>
      </c>
      <c r="D22" t="n">
        <v>1</v>
      </c>
      <c r="E22" t="inlineStr">
        <is>
          <t>Evidence Strategy source</t>
        </is>
      </c>
      <c r="F22" t="inlineStr">
        <is>
          <t>web_page</t>
        </is>
      </c>
      <c r="G22" t="inlineStr">
        <is>
          <t>United Kingdom National smartphone shipments (apparent consumption) smartphones (units shipped)</t>
        </is>
      </c>
      <c r="H22" t="n">
        <v>5</v>
      </c>
      <c r="I22" s="2" t="inlineStr">
        <is>
          <t>no</t>
        </is>
      </c>
      <c r="J22" t="inlineStr"/>
      <c r="K22" t="inlineStr"/>
      <c r="L22" t="inlineStr"/>
      <c r="M22" t="inlineStr"/>
      <c r="N22" t="inlineStr"/>
      <c r="O22" t="inlineStr"/>
      <c r="P22" t="inlineStr"/>
      <c r="Q22" t="inlineStr">
        <is>
          <t>extraction_failed</t>
        </is>
      </c>
    </row>
    <row r="23">
      <c r="A23" t="inlineStr">
        <is>
          <t>Driver</t>
        </is>
      </c>
      <c r="B23" t="inlineStr">
        <is>
          <t>Total Laptops demand</t>
        </is>
      </c>
      <c r="C23" t="inlineStr">
        <is>
          <t>United Kingdom</t>
        </is>
      </c>
      <c r="D23" t="n">
        <v>2</v>
      </c>
      <c r="E23" t="inlineStr">
        <is>
          <t>IDC Worldwide Quarterly Mobile Phone Tracker</t>
        </is>
      </c>
      <c r="F23" t="inlineStr">
        <is>
          <t>web_page</t>
        </is>
      </c>
      <c r="G23" t="inlineStr">
        <is>
          <t>site:idc.com United Kingdom smartphone shipments units quarterly</t>
        </is>
      </c>
      <c r="H23" t="n">
        <v>5</v>
      </c>
      <c r="I23" s="2" t="inlineStr">
        <is>
          <t>no</t>
        </is>
      </c>
      <c r="J23" t="inlineStr"/>
      <c r="K23" t="inlineStr"/>
      <c r="L23" t="inlineStr"/>
      <c r="M23" t="inlineStr"/>
      <c r="N23" t="inlineStr"/>
      <c r="O23" t="inlineStr"/>
      <c r="P23" t="inlineStr"/>
      <c r="Q23" t="inlineStr">
        <is>
          <t>extraction_failed</t>
        </is>
      </c>
    </row>
    <row r="24">
      <c r="A24" t="inlineStr">
        <is>
          <t>Driver</t>
        </is>
      </c>
      <c r="B24" t="inlineStr">
        <is>
          <t>Total Laptops demand</t>
        </is>
      </c>
      <c r="C24" t="inlineStr">
        <is>
          <t>United Kingdom</t>
        </is>
      </c>
      <c r="D24" t="n">
        <v>3</v>
      </c>
      <c r="E24" t="inlineStr">
        <is>
          <t>Canalys Smartphone Market Pulse</t>
        </is>
      </c>
      <c r="F24" t="inlineStr">
        <is>
          <t>web_page</t>
        </is>
      </c>
      <c r="G24" t="inlineStr">
        <is>
          <t>site:canalys.com United Kingdom smartphone shipments million units</t>
        </is>
      </c>
      <c r="H24" t="n">
        <v>5</v>
      </c>
      <c r="I24" s="2" t="inlineStr">
        <is>
          <t>no</t>
        </is>
      </c>
      <c r="J24" t="inlineStr"/>
      <c r="K24" t="inlineStr"/>
      <c r="L24" t="inlineStr"/>
      <c r="M24" t="inlineStr"/>
      <c r="N24" t="inlineStr"/>
      <c r="O24" t="inlineStr"/>
      <c r="P24" t="inlineStr"/>
      <c r="Q24" t="inlineStr">
        <is>
          <t>extraction_failed</t>
        </is>
      </c>
    </row>
    <row r="25">
      <c r="A25" t="inlineStr">
        <is>
          <t>Driver</t>
        </is>
      </c>
      <c r="B25" t="inlineStr">
        <is>
          <t>Total Laptops demand</t>
        </is>
      </c>
      <c r="C25" t="inlineStr">
        <is>
          <t>United Kingdom</t>
        </is>
      </c>
      <c r="D25" t="n">
        <v>4</v>
      </c>
      <c r="E25" t="inlineStr">
        <is>
          <t>Counterpoint Research Market Monitor</t>
        </is>
      </c>
      <c r="F25" t="inlineStr">
        <is>
          <t>web_page</t>
        </is>
      </c>
      <c r="G25" t="inlineStr">
        <is>
          <t>site:counterpointresearch.com United Kingdom smartphone shipments units</t>
        </is>
      </c>
      <c r="H25" t="n">
        <v>5</v>
      </c>
      <c r="I25" s="2" t="inlineStr">
        <is>
          <t>no</t>
        </is>
      </c>
      <c r="J25" t="inlineStr"/>
      <c r="K25" t="inlineStr"/>
      <c r="L25" t="inlineStr"/>
      <c r="M25" t="inlineStr"/>
      <c r="N25" t="inlineStr"/>
      <c r="O25" t="inlineStr"/>
      <c r="P25" t="inlineStr"/>
      <c r="Q25" t="inlineStr">
        <is>
          <t>extraction_failed</t>
        </is>
      </c>
    </row>
    <row r="26">
      <c r="A26" t="inlineStr">
        <is>
          <t>Driver</t>
        </is>
      </c>
      <c r="B26" t="inlineStr">
        <is>
          <t>Total Laptops demand</t>
        </is>
      </c>
      <c r="C26" t="inlineStr">
        <is>
          <t>United Kingdom</t>
        </is>
      </c>
      <c r="D26" t="n">
        <v>5</v>
      </c>
      <c r="E26" t="inlineStr">
        <is>
          <t>LLM best-effort claim(s)</t>
        </is>
      </c>
      <c r="F26" t="inlineStr">
        <is>
          <t>llm_claim</t>
        </is>
      </c>
      <c r="G26" t="inlineStr"/>
      <c r="H26" t="n">
        <v>0</v>
      </c>
      <c r="I26" s="2" t="inlineStr">
        <is>
          <t>no</t>
        </is>
      </c>
      <c r="J26" t="inlineStr"/>
      <c r="K26" t="inlineStr"/>
      <c r="L26" t="inlineStr"/>
      <c r="M26" t="inlineStr"/>
      <c r="N26" t="inlineStr"/>
      <c r="O26" t="inlineStr"/>
      <c r="P26" t="inlineStr"/>
      <c r="Q26" t="inlineStr">
        <is>
          <t>no_specific_claim</t>
        </is>
      </c>
    </row>
    <row r="27">
      <c r="A27" t="inlineStr">
        <is>
          <t>Driver</t>
        </is>
      </c>
      <c r="B27" t="inlineStr">
        <is>
          <t>Total Laptops demand</t>
        </is>
      </c>
      <c r="C27" t="inlineStr">
        <is>
          <t>India</t>
        </is>
      </c>
      <c r="D27" t="n">
        <v>1</v>
      </c>
      <c r="E27" t="inlineStr">
        <is>
          <t>Evidence Strategy source</t>
        </is>
      </c>
      <c r="F27" t="inlineStr">
        <is>
          <t>web_page</t>
        </is>
      </c>
      <c r="G27" t="inlineStr">
        <is>
          <t>India National smartphone shipments (apparent consumption) smartphones (units shipped)</t>
        </is>
      </c>
      <c r="H27" t="n">
        <v>5</v>
      </c>
      <c r="I27" s="2" t="inlineStr">
        <is>
          <t>no</t>
        </is>
      </c>
      <c r="J27" t="inlineStr"/>
      <c r="K27" t="inlineStr"/>
      <c r="L27" t="inlineStr"/>
      <c r="M27" t="inlineStr"/>
      <c r="N27" t="inlineStr"/>
      <c r="O27" t="inlineStr"/>
      <c r="P27" t="inlineStr"/>
      <c r="Q27" t="inlineStr">
        <is>
          <t>extraction_failed</t>
        </is>
      </c>
    </row>
    <row r="28">
      <c r="A28" t="inlineStr">
        <is>
          <t>Driver</t>
        </is>
      </c>
      <c r="B28" t="inlineStr">
        <is>
          <t>Total Laptops demand</t>
        </is>
      </c>
      <c r="C28" t="inlineStr">
        <is>
          <t>India</t>
        </is>
      </c>
      <c r="D28" t="n">
        <v>2</v>
      </c>
      <c r="E28" t="inlineStr">
        <is>
          <t>IDC Worldwide Quarterly Mobile Phone Tracker</t>
        </is>
      </c>
      <c r="F28" t="inlineStr">
        <is>
          <t>web_page</t>
        </is>
      </c>
      <c r="G28" t="inlineStr">
        <is>
          <t>site:idc.com India smartphone shipments units quarterly</t>
        </is>
      </c>
      <c r="H28" t="n">
        <v>5</v>
      </c>
      <c r="I28" s="3" t="inlineStr">
        <is>
          <t>YES</t>
        </is>
      </c>
      <c r="J28" t="inlineStr">
        <is>
          <t>https://dev.idc.com/resource-center/blog/india-smartphone-market-q1-2026/</t>
        </is>
      </c>
      <c r="K28" t="inlineStr"/>
      <c r="L28" t="n">
        <v>31000000</v>
      </c>
      <c r="M28" t="inlineStr">
        <is>
          <t>smartphones (units shipped)</t>
        </is>
      </c>
      <c r="N28" t="n">
        <v>2026</v>
      </c>
      <c r="O28" t="inlineStr">
        <is>
          <t>India's smartphone market shipments declined 4.1% year over year to 31.0 million units in Q1 2026</t>
        </is>
      </c>
      <c r="P28" s="3" t="inlineStr">
        <is>
          <t>verified_observed</t>
        </is>
      </c>
      <c r="Q28" t="inlineStr"/>
    </row>
    <row r="29">
      <c r="A29" t="inlineStr">
        <is>
          <t>Driver</t>
        </is>
      </c>
      <c r="B29" t="inlineStr">
        <is>
          <t>Total Laptops demand</t>
        </is>
      </c>
      <c r="C29" t="inlineStr">
        <is>
          <t>South Korea</t>
        </is>
      </c>
      <c r="D29" t="n">
        <v>1</v>
      </c>
      <c r="E29" t="inlineStr">
        <is>
          <t>Evidence Strategy source</t>
        </is>
      </c>
      <c r="F29" t="inlineStr">
        <is>
          <t>web_page</t>
        </is>
      </c>
      <c r="G29" t="inlineStr">
        <is>
          <t>South Korea National smartphone shipments (apparent consumption) smartphones (units shipped)</t>
        </is>
      </c>
      <c r="H29" t="n">
        <v>5</v>
      </c>
      <c r="I29" s="2" t="inlineStr">
        <is>
          <t>no</t>
        </is>
      </c>
      <c r="J29" t="inlineStr"/>
      <c r="K29" t="inlineStr"/>
      <c r="L29" t="inlineStr"/>
      <c r="M29" t="inlineStr"/>
      <c r="N29" t="inlineStr"/>
      <c r="O29" t="inlineStr"/>
      <c r="P29" t="inlineStr"/>
      <c r="Q29" t="inlineStr">
        <is>
          <t>extraction_failed</t>
        </is>
      </c>
    </row>
    <row r="30">
      <c r="A30" t="inlineStr">
        <is>
          <t>Driver</t>
        </is>
      </c>
      <c r="B30" t="inlineStr">
        <is>
          <t>Total Laptops demand</t>
        </is>
      </c>
      <c r="C30" t="inlineStr">
        <is>
          <t>South Korea</t>
        </is>
      </c>
      <c r="D30" t="n">
        <v>2</v>
      </c>
      <c r="E30" t="inlineStr">
        <is>
          <t>IDC Worldwide Quarterly Mobile Phone Tracker</t>
        </is>
      </c>
      <c r="F30" t="inlineStr">
        <is>
          <t>web_page</t>
        </is>
      </c>
      <c r="G30" t="inlineStr">
        <is>
          <t>site:idc.com South Korea smartphone shipments units quarterly</t>
        </is>
      </c>
      <c r="H30" t="n">
        <v>0</v>
      </c>
      <c r="I30" s="2" t="inlineStr">
        <is>
          <t>no</t>
        </is>
      </c>
      <c r="J30" t="inlineStr"/>
      <c r="K30" t="inlineStr"/>
      <c r="L30" t="inlineStr"/>
      <c r="M30" t="inlineStr"/>
      <c r="N30" t="inlineStr"/>
      <c r="O30" t="inlineStr"/>
      <c r="P30" t="inlineStr"/>
      <c r="Q30" t="inlineStr">
        <is>
          <t>no_source_found</t>
        </is>
      </c>
    </row>
    <row r="31">
      <c r="A31" t="inlineStr">
        <is>
          <t>Driver</t>
        </is>
      </c>
      <c r="B31" t="inlineStr">
        <is>
          <t>Total Laptops demand</t>
        </is>
      </c>
      <c r="C31" t="inlineStr">
        <is>
          <t>South Korea</t>
        </is>
      </c>
      <c r="D31" t="n">
        <v>3</v>
      </c>
      <c r="E31" t="inlineStr">
        <is>
          <t>Canalys Smartphone Market Pulse</t>
        </is>
      </c>
      <c r="F31" t="inlineStr">
        <is>
          <t>web_page</t>
        </is>
      </c>
      <c r="G31" t="inlineStr">
        <is>
          <t>site:canalys.com South Korea smartphone shipments million units</t>
        </is>
      </c>
      <c r="H31" t="n">
        <v>0</v>
      </c>
      <c r="I31" s="2" t="inlineStr">
        <is>
          <t>no</t>
        </is>
      </c>
      <c r="J31" t="inlineStr"/>
      <c r="K31" t="inlineStr"/>
      <c r="L31" t="inlineStr"/>
      <c r="M31" t="inlineStr"/>
      <c r="N31" t="inlineStr"/>
      <c r="O31" t="inlineStr"/>
      <c r="P31" t="inlineStr"/>
      <c r="Q31" t="inlineStr">
        <is>
          <t>no_source_found</t>
        </is>
      </c>
    </row>
    <row r="32">
      <c r="A32" t="inlineStr">
        <is>
          <t>Driver</t>
        </is>
      </c>
      <c r="B32" t="inlineStr">
        <is>
          <t>Total Laptops demand</t>
        </is>
      </c>
      <c r="C32" t="inlineStr">
        <is>
          <t>South Korea</t>
        </is>
      </c>
      <c r="D32" t="n">
        <v>4</v>
      </c>
      <c r="E32" t="inlineStr">
        <is>
          <t>Counterpoint Research Market Monitor</t>
        </is>
      </c>
      <c r="F32" t="inlineStr">
        <is>
          <t>web_page</t>
        </is>
      </c>
      <c r="G32" t="inlineStr">
        <is>
          <t>site:counterpointresearch.com South Korea smartphone shipments units</t>
        </is>
      </c>
      <c r="H32" t="n">
        <v>5</v>
      </c>
      <c r="I32" s="2" t="inlineStr">
        <is>
          <t>no</t>
        </is>
      </c>
      <c r="J32" t="inlineStr"/>
      <c r="K32" t="inlineStr"/>
      <c r="L32" t="inlineStr"/>
      <c r="M32" t="inlineStr"/>
      <c r="N32" t="inlineStr"/>
      <c r="O32" t="inlineStr"/>
      <c r="P32" t="inlineStr"/>
      <c r="Q32" t="inlineStr">
        <is>
          <t>extraction_failed</t>
        </is>
      </c>
    </row>
    <row r="33">
      <c r="A33" t="inlineStr">
        <is>
          <t>Driver</t>
        </is>
      </c>
      <c r="B33" t="inlineStr">
        <is>
          <t>Total Laptops demand</t>
        </is>
      </c>
      <c r="C33" t="inlineStr">
        <is>
          <t>South Korea</t>
        </is>
      </c>
      <c r="D33" t="n">
        <v>5</v>
      </c>
      <c r="E33" t="inlineStr">
        <is>
          <t>LLM best-effort claim(s)</t>
        </is>
      </c>
      <c r="F33" t="inlineStr">
        <is>
          <t>llm_claim</t>
        </is>
      </c>
      <c r="G33" t="inlineStr"/>
      <c r="H33" t="n">
        <v>0</v>
      </c>
      <c r="I33" s="2" t="inlineStr">
        <is>
          <t>no</t>
        </is>
      </c>
      <c r="J33" t="inlineStr"/>
      <c r="K33" t="inlineStr"/>
      <c r="L33" t="inlineStr"/>
      <c r="M33" t="inlineStr"/>
      <c r="N33" t="inlineStr"/>
      <c r="O33" t="inlineStr"/>
      <c r="P33" t="inlineStr"/>
      <c r="Q33" t="inlineStr">
        <is>
          <t>no_specific_claim</t>
        </is>
      </c>
    </row>
    <row r="34">
      <c r="A34" t="inlineStr">
        <is>
          <t>Driver</t>
        </is>
      </c>
      <c r="B34" t="inlineStr">
        <is>
          <t>Total Laptops demand</t>
        </is>
      </c>
      <c r="C34" t="inlineStr">
        <is>
          <t>France</t>
        </is>
      </c>
      <c r="D34" t="n">
        <v>1</v>
      </c>
      <c r="E34" t="inlineStr">
        <is>
          <t>Evidence Strategy source</t>
        </is>
      </c>
      <c r="F34" t="inlineStr">
        <is>
          <t>web_page</t>
        </is>
      </c>
      <c r="G34" t="inlineStr">
        <is>
          <t>France National smartphone shipments (apparent consumption) smartphones (units shipped)</t>
        </is>
      </c>
      <c r="H34" t="n">
        <v>5</v>
      </c>
      <c r="I34" s="2" t="inlineStr">
        <is>
          <t>no</t>
        </is>
      </c>
      <c r="J34" t="inlineStr"/>
      <c r="K34" t="inlineStr"/>
      <c r="L34" t="inlineStr"/>
      <c r="M34" t="inlineStr"/>
      <c r="N34" t="inlineStr"/>
      <c r="O34" t="inlineStr"/>
      <c r="P34" t="inlineStr"/>
      <c r="Q34" t="inlineStr">
        <is>
          <t>extraction_failed</t>
        </is>
      </c>
    </row>
    <row r="35">
      <c r="A35" t="inlineStr">
        <is>
          <t>Driver</t>
        </is>
      </c>
      <c r="B35" t="inlineStr">
        <is>
          <t>Total Laptops demand</t>
        </is>
      </c>
      <c r="C35" t="inlineStr">
        <is>
          <t>France</t>
        </is>
      </c>
      <c r="D35" t="n">
        <v>2</v>
      </c>
      <c r="E35" t="inlineStr">
        <is>
          <t>IDC Worldwide Quarterly Mobile Phone Tracker</t>
        </is>
      </c>
      <c r="F35" t="inlineStr">
        <is>
          <t>web_page</t>
        </is>
      </c>
      <c r="G35" t="inlineStr">
        <is>
          <t>site:idc.com France smartphone shipments units quarterly</t>
        </is>
      </c>
      <c r="H35" t="n">
        <v>5</v>
      </c>
      <c r="I35" s="2" t="inlineStr">
        <is>
          <t>no</t>
        </is>
      </c>
      <c r="J35" t="inlineStr"/>
      <c r="K35" t="inlineStr"/>
      <c r="L35" t="inlineStr"/>
      <c r="M35" t="inlineStr"/>
      <c r="N35" t="inlineStr"/>
      <c r="O35" t="inlineStr"/>
      <c r="P35" t="inlineStr"/>
      <c r="Q35" t="inlineStr">
        <is>
          <t>extraction_failed</t>
        </is>
      </c>
    </row>
    <row r="36">
      <c r="A36" t="inlineStr">
        <is>
          <t>Driver</t>
        </is>
      </c>
      <c r="B36" t="inlineStr">
        <is>
          <t>Total Laptops demand</t>
        </is>
      </c>
      <c r="C36" t="inlineStr">
        <is>
          <t>France</t>
        </is>
      </c>
      <c r="D36" t="n">
        <v>3</v>
      </c>
      <c r="E36" t="inlineStr">
        <is>
          <t>Canalys Smartphone Market Pulse</t>
        </is>
      </c>
      <c r="F36" t="inlineStr">
        <is>
          <t>web_page</t>
        </is>
      </c>
      <c r="G36" t="inlineStr">
        <is>
          <t>site:canalys.com France smartphone shipments million units</t>
        </is>
      </c>
      <c r="H36" t="n">
        <v>0</v>
      </c>
      <c r="I36" s="2" t="inlineStr">
        <is>
          <t>no</t>
        </is>
      </c>
      <c r="J36" t="inlineStr"/>
      <c r="K36" t="inlineStr"/>
      <c r="L36" t="inlineStr"/>
      <c r="M36" t="inlineStr"/>
      <c r="N36" t="inlineStr"/>
      <c r="O36" t="inlineStr"/>
      <c r="P36" t="inlineStr"/>
      <c r="Q36" t="inlineStr">
        <is>
          <t>no_source_found</t>
        </is>
      </c>
    </row>
    <row r="37">
      <c r="A37" t="inlineStr">
        <is>
          <t>Driver</t>
        </is>
      </c>
      <c r="B37" t="inlineStr">
        <is>
          <t>Total Laptops demand</t>
        </is>
      </c>
      <c r="C37" t="inlineStr">
        <is>
          <t>France</t>
        </is>
      </c>
      <c r="D37" t="n">
        <v>4</v>
      </c>
      <c r="E37" t="inlineStr">
        <is>
          <t>Counterpoint Research Market Monitor</t>
        </is>
      </c>
      <c r="F37" t="inlineStr">
        <is>
          <t>web_page</t>
        </is>
      </c>
      <c r="G37" t="inlineStr">
        <is>
          <t>site:counterpointresearch.com France smartphone shipments units</t>
        </is>
      </c>
      <c r="H37" t="n">
        <v>0</v>
      </c>
      <c r="I37" s="2" t="inlineStr">
        <is>
          <t>no</t>
        </is>
      </c>
      <c r="J37" t="inlineStr"/>
      <c r="K37" t="inlineStr"/>
      <c r="L37" t="inlineStr"/>
      <c r="M37" t="inlineStr"/>
      <c r="N37" t="inlineStr"/>
      <c r="O37" t="inlineStr"/>
      <c r="P37" t="inlineStr"/>
      <c r="Q37" t="inlineStr">
        <is>
          <t>no_source_found</t>
        </is>
      </c>
    </row>
    <row r="38">
      <c r="A38" t="inlineStr">
        <is>
          <t>Driver</t>
        </is>
      </c>
      <c r="B38" t="inlineStr">
        <is>
          <t>Total Laptops demand</t>
        </is>
      </c>
      <c r="C38" t="inlineStr">
        <is>
          <t>France</t>
        </is>
      </c>
      <c r="D38" t="n">
        <v>5</v>
      </c>
      <c r="E38" t="inlineStr">
        <is>
          <t>LLM best-effort claim(s)</t>
        </is>
      </c>
      <c r="F38" t="inlineStr">
        <is>
          <t>llm_claim</t>
        </is>
      </c>
      <c r="G38" t="inlineStr"/>
      <c r="H38" t="n">
        <v>0</v>
      </c>
      <c r="I38" s="2" t="inlineStr">
        <is>
          <t>no</t>
        </is>
      </c>
      <c r="J38" t="inlineStr"/>
      <c r="K38" t="inlineStr"/>
      <c r="L38" t="inlineStr"/>
      <c r="M38" t="inlineStr"/>
      <c r="N38" t="inlineStr"/>
      <c r="O38" t="inlineStr"/>
      <c r="P38" t="inlineStr"/>
      <c r="Q38" t="inlineStr">
        <is>
          <t>no_specific_claim</t>
        </is>
      </c>
    </row>
    <row r="39">
      <c r="A39" t="inlineStr">
        <is>
          <t>Driver</t>
        </is>
      </c>
      <c r="B39" t="inlineStr">
        <is>
          <t>Total Laptops demand</t>
        </is>
      </c>
      <c r="C39" t="inlineStr">
        <is>
          <t>Canada</t>
        </is>
      </c>
      <c r="D39" t="n">
        <v>1</v>
      </c>
      <c r="E39" t="inlineStr">
        <is>
          <t>Evidence Strategy source</t>
        </is>
      </c>
      <c r="F39" t="inlineStr">
        <is>
          <t>web_page</t>
        </is>
      </c>
      <c r="G39" t="inlineStr">
        <is>
          <t>Canada National smartphone shipments (apparent consumption) smartphones (units shipped)</t>
        </is>
      </c>
      <c r="H39" t="n">
        <v>0</v>
      </c>
      <c r="I39" s="2" t="inlineStr">
        <is>
          <t>no</t>
        </is>
      </c>
      <c r="J39" t="inlineStr"/>
      <c r="K39" t="inlineStr"/>
      <c r="L39" t="inlineStr"/>
      <c r="M39" t="inlineStr"/>
      <c r="N39" t="inlineStr"/>
      <c r="O39" t="inlineStr"/>
      <c r="P39" t="inlineStr"/>
      <c r="Q39" t="inlineStr">
        <is>
          <t>no_source_found</t>
        </is>
      </c>
    </row>
    <row r="40">
      <c r="A40" t="inlineStr">
        <is>
          <t>Driver</t>
        </is>
      </c>
      <c r="B40" t="inlineStr">
        <is>
          <t>Total Laptops demand</t>
        </is>
      </c>
      <c r="C40" t="inlineStr">
        <is>
          <t>Canada</t>
        </is>
      </c>
      <c r="D40" t="n">
        <v>2</v>
      </c>
      <c r="E40" t="inlineStr">
        <is>
          <t>IDC Worldwide Quarterly Mobile Phone Tracker</t>
        </is>
      </c>
      <c r="F40" t="inlineStr">
        <is>
          <t>web_page</t>
        </is>
      </c>
      <c r="G40" t="inlineStr">
        <is>
          <t>site:idc.com Canada smartphone shipments units quarterly</t>
        </is>
      </c>
      <c r="H40" t="n">
        <v>5</v>
      </c>
      <c r="I40" s="2" t="inlineStr">
        <is>
          <t>no</t>
        </is>
      </c>
      <c r="J40" t="inlineStr"/>
      <c r="K40" t="inlineStr"/>
      <c r="L40" t="inlineStr"/>
      <c r="M40" t="inlineStr"/>
      <c r="N40" t="inlineStr"/>
      <c r="O40" t="inlineStr"/>
      <c r="P40" t="inlineStr"/>
      <c r="Q40" t="inlineStr">
        <is>
          <t>extraction_failed</t>
        </is>
      </c>
    </row>
    <row r="41">
      <c r="A41" t="inlineStr">
        <is>
          <t>Driver</t>
        </is>
      </c>
      <c r="B41" t="inlineStr">
        <is>
          <t>Total Laptops demand</t>
        </is>
      </c>
      <c r="C41" t="inlineStr">
        <is>
          <t>Canada</t>
        </is>
      </c>
      <c r="D41" t="n">
        <v>3</v>
      </c>
      <c r="E41" t="inlineStr">
        <is>
          <t>Canalys Smartphone Market Pulse</t>
        </is>
      </c>
      <c r="F41" t="inlineStr">
        <is>
          <t>web_page</t>
        </is>
      </c>
      <c r="G41" t="inlineStr">
        <is>
          <t>site:canalys.com Canada smartphone shipments million units</t>
        </is>
      </c>
      <c r="H41" t="n">
        <v>5</v>
      </c>
      <c r="I41" s="2" t="inlineStr">
        <is>
          <t>no</t>
        </is>
      </c>
      <c r="J41" t="inlineStr"/>
      <c r="K41" t="inlineStr"/>
      <c r="L41" t="inlineStr"/>
      <c r="M41" t="inlineStr"/>
      <c r="N41" t="inlineStr"/>
      <c r="O41" t="inlineStr"/>
      <c r="P41" t="inlineStr"/>
      <c r="Q41" t="inlineStr">
        <is>
          <t>extraction_failed</t>
        </is>
      </c>
    </row>
    <row r="42">
      <c r="A42" t="inlineStr">
        <is>
          <t>Driver</t>
        </is>
      </c>
      <c r="B42" t="inlineStr">
        <is>
          <t>Total Laptops demand</t>
        </is>
      </c>
      <c r="C42" t="inlineStr">
        <is>
          <t>Canada</t>
        </is>
      </c>
      <c r="D42" t="n">
        <v>4</v>
      </c>
      <c r="E42" t="inlineStr">
        <is>
          <t>Counterpoint Research Market Monitor</t>
        </is>
      </c>
      <c r="F42" t="inlineStr">
        <is>
          <t>web_page</t>
        </is>
      </c>
      <c r="G42" t="inlineStr">
        <is>
          <t>site:counterpointresearch.com Canada smartphone shipments units</t>
        </is>
      </c>
      <c r="H42" t="n">
        <v>5</v>
      </c>
      <c r="I42" s="2" t="inlineStr">
        <is>
          <t>no</t>
        </is>
      </c>
      <c r="J42" t="inlineStr"/>
      <c r="K42" t="inlineStr"/>
      <c r="L42" t="inlineStr"/>
      <c r="M42" t="inlineStr"/>
      <c r="N42" t="inlineStr"/>
      <c r="O42" t="inlineStr"/>
      <c r="P42" t="inlineStr"/>
      <c r="Q42" t="inlineStr">
        <is>
          <t>extraction_failed</t>
        </is>
      </c>
    </row>
    <row r="43">
      <c r="A43" t="inlineStr">
        <is>
          <t>Driver</t>
        </is>
      </c>
      <c r="B43" t="inlineStr">
        <is>
          <t>Total Laptops demand</t>
        </is>
      </c>
      <c r="C43" t="inlineStr">
        <is>
          <t>Canada</t>
        </is>
      </c>
      <c r="D43" t="n">
        <v>5</v>
      </c>
      <c r="E43" t="inlineStr">
        <is>
          <t>LLM best-effort claim(s)</t>
        </is>
      </c>
      <c r="F43" t="inlineStr">
        <is>
          <t>llm_claim</t>
        </is>
      </c>
      <c r="G43" t="inlineStr"/>
      <c r="H43" t="n">
        <v>0</v>
      </c>
      <c r="I43" s="2" t="inlineStr">
        <is>
          <t>no</t>
        </is>
      </c>
      <c r="J43" t="inlineStr"/>
      <c r="K43" t="inlineStr"/>
      <c r="L43" t="inlineStr"/>
      <c r="M43" t="inlineStr"/>
      <c r="N43" t="inlineStr"/>
      <c r="O43" t="inlineStr"/>
      <c r="P43" t="inlineStr"/>
      <c r="Q43" t="inlineStr">
        <is>
          <t>no_specific_claim</t>
        </is>
      </c>
    </row>
    <row r="44">
      <c r="A44" t="inlineStr">
        <is>
          <t>Driver</t>
        </is>
      </c>
      <c r="B44" t="inlineStr">
        <is>
          <t>Total Laptops demand</t>
        </is>
      </c>
      <c r="C44" t="inlineStr">
        <is>
          <t>Brazil</t>
        </is>
      </c>
      <c r="D44" t="n">
        <v>1</v>
      </c>
      <c r="E44" t="inlineStr">
        <is>
          <t>Evidence Strategy source</t>
        </is>
      </c>
      <c r="F44" t="inlineStr">
        <is>
          <t>web_page</t>
        </is>
      </c>
      <c r="G44" t="inlineStr">
        <is>
          <t>Brazil National smartphone shipments (apparent consumption) smartphones (units shipped)</t>
        </is>
      </c>
      <c r="H44" t="n">
        <v>0</v>
      </c>
      <c r="I44" s="2" t="inlineStr">
        <is>
          <t>no</t>
        </is>
      </c>
      <c r="J44" t="inlineStr"/>
      <c r="K44" t="inlineStr"/>
      <c r="L44" t="inlineStr"/>
      <c r="M44" t="inlineStr"/>
      <c r="N44" t="inlineStr"/>
      <c r="O44" t="inlineStr"/>
      <c r="P44" t="inlineStr"/>
      <c r="Q44" t="inlineStr">
        <is>
          <t>no_source_found</t>
        </is>
      </c>
    </row>
    <row r="45">
      <c r="A45" t="inlineStr">
        <is>
          <t>Driver</t>
        </is>
      </c>
      <c r="B45" t="inlineStr">
        <is>
          <t>Total Laptops demand</t>
        </is>
      </c>
      <c r="C45" t="inlineStr">
        <is>
          <t>Brazil</t>
        </is>
      </c>
      <c r="D45" t="n">
        <v>2</v>
      </c>
      <c r="E45" t="inlineStr">
        <is>
          <t>IDC Worldwide Quarterly Mobile Phone Tracker</t>
        </is>
      </c>
      <c r="F45" t="inlineStr">
        <is>
          <t>web_page</t>
        </is>
      </c>
      <c r="G45" t="inlineStr">
        <is>
          <t>site:idc.com Brazil smartphone shipments units quarterly</t>
        </is>
      </c>
      <c r="H45" t="n">
        <v>5</v>
      </c>
      <c r="I45" s="2" t="inlineStr">
        <is>
          <t>no</t>
        </is>
      </c>
      <c r="J45" t="inlineStr"/>
      <c r="K45" t="inlineStr"/>
      <c r="L45" t="inlineStr"/>
      <c r="M45" t="inlineStr"/>
      <c r="N45" t="inlineStr"/>
      <c r="O45" t="inlineStr"/>
      <c r="P45" t="inlineStr"/>
      <c r="Q45" t="inlineStr">
        <is>
          <t>extraction_failed</t>
        </is>
      </c>
    </row>
    <row r="46">
      <c r="A46" t="inlineStr">
        <is>
          <t>Driver</t>
        </is>
      </c>
      <c r="B46" t="inlineStr">
        <is>
          <t>Total Laptops demand</t>
        </is>
      </c>
      <c r="C46" t="inlineStr">
        <is>
          <t>Brazil</t>
        </is>
      </c>
      <c r="D46" t="n">
        <v>3</v>
      </c>
      <c r="E46" t="inlineStr">
        <is>
          <t>Canalys Smartphone Market Pulse</t>
        </is>
      </c>
      <c r="F46" t="inlineStr">
        <is>
          <t>web_page</t>
        </is>
      </c>
      <c r="G46" t="inlineStr">
        <is>
          <t>site:canalys.com Brazil smartphone shipments million units</t>
        </is>
      </c>
      <c r="H46" t="n">
        <v>0</v>
      </c>
      <c r="I46" s="2" t="inlineStr">
        <is>
          <t>no</t>
        </is>
      </c>
      <c r="J46" t="inlineStr"/>
      <c r="K46" t="inlineStr"/>
      <c r="L46" t="inlineStr"/>
      <c r="M46" t="inlineStr"/>
      <c r="N46" t="inlineStr"/>
      <c r="O46" t="inlineStr"/>
      <c r="P46" t="inlineStr"/>
      <c r="Q46" t="inlineStr">
        <is>
          <t>no_source_found</t>
        </is>
      </c>
    </row>
    <row r="47">
      <c r="A47" t="inlineStr">
        <is>
          <t>Driver</t>
        </is>
      </c>
      <c r="B47" t="inlineStr">
        <is>
          <t>Total Laptops demand</t>
        </is>
      </c>
      <c r="C47" t="inlineStr">
        <is>
          <t>Brazil</t>
        </is>
      </c>
      <c r="D47" t="n">
        <v>4</v>
      </c>
      <c r="E47" t="inlineStr">
        <is>
          <t>Counterpoint Research Market Monitor</t>
        </is>
      </c>
      <c r="F47" t="inlineStr">
        <is>
          <t>web_page</t>
        </is>
      </c>
      <c r="G47" t="inlineStr">
        <is>
          <t>site:counterpointresearch.com Brazil smartphone shipments units</t>
        </is>
      </c>
      <c r="H47" t="n">
        <v>5</v>
      </c>
      <c r="I47" s="2" t="inlineStr">
        <is>
          <t>no</t>
        </is>
      </c>
      <c r="J47" t="inlineStr"/>
      <c r="K47" t="inlineStr"/>
      <c r="L47" t="inlineStr"/>
      <c r="M47" t="inlineStr"/>
      <c r="N47" t="inlineStr"/>
      <c r="O47" t="inlineStr"/>
      <c r="P47" t="inlineStr"/>
      <c r="Q47" t="inlineStr">
        <is>
          <t>extraction_failed</t>
        </is>
      </c>
    </row>
    <row r="48">
      <c r="A48" t="inlineStr">
        <is>
          <t>Driver</t>
        </is>
      </c>
      <c r="B48" t="inlineStr">
        <is>
          <t>Total Laptops demand</t>
        </is>
      </c>
      <c r="C48" t="inlineStr">
        <is>
          <t>Brazil</t>
        </is>
      </c>
      <c r="D48" t="n">
        <v>5</v>
      </c>
      <c r="E48" t="inlineStr">
        <is>
          <t>LLM best-effort claim(s)</t>
        </is>
      </c>
      <c r="F48" t="inlineStr">
        <is>
          <t>llm_claim</t>
        </is>
      </c>
      <c r="G48" t="inlineStr"/>
      <c r="H48" t="n">
        <v>0</v>
      </c>
      <c r="I48" s="2" t="inlineStr">
        <is>
          <t>no</t>
        </is>
      </c>
      <c r="J48" t="inlineStr"/>
      <c r="K48" t="inlineStr"/>
      <c r="L48" t="inlineStr"/>
      <c r="M48" t="inlineStr"/>
      <c r="N48" t="inlineStr"/>
      <c r="O48" t="inlineStr"/>
      <c r="P48" t="inlineStr"/>
      <c r="Q48" t="inlineStr">
        <is>
          <t>no_specific_claim</t>
        </is>
      </c>
    </row>
    <row r="49">
      <c r="A49" t="inlineStr">
        <is>
          <t>Driver</t>
        </is>
      </c>
      <c r="B49" t="inlineStr">
        <is>
          <t>Total Laptops demand</t>
        </is>
      </c>
      <c r="C49" t="inlineStr">
        <is>
          <t>Australia</t>
        </is>
      </c>
      <c r="D49" t="n">
        <v>1</v>
      </c>
      <c r="E49" t="inlineStr">
        <is>
          <t>Evidence Strategy source</t>
        </is>
      </c>
      <c r="F49" t="inlineStr">
        <is>
          <t>web_page</t>
        </is>
      </c>
      <c r="G49" t="inlineStr">
        <is>
          <t>Australia National smartphone shipments (apparent consumption) smartphones (units shipped)</t>
        </is>
      </c>
      <c r="H49" t="n">
        <v>5</v>
      </c>
      <c r="I49" s="2" t="inlineStr">
        <is>
          <t>no</t>
        </is>
      </c>
      <c r="J49" t="inlineStr"/>
      <c r="K49" t="inlineStr"/>
      <c r="L49" t="inlineStr"/>
      <c r="M49" t="inlineStr"/>
      <c r="N49" t="inlineStr"/>
      <c r="O49" t="inlineStr"/>
      <c r="P49" t="inlineStr"/>
      <c r="Q49" t="inlineStr">
        <is>
          <t>extraction_failed</t>
        </is>
      </c>
    </row>
    <row r="50">
      <c r="A50" t="inlineStr">
        <is>
          <t>Driver</t>
        </is>
      </c>
      <c r="B50" t="inlineStr">
        <is>
          <t>Total Laptops demand</t>
        </is>
      </c>
      <c r="C50" t="inlineStr">
        <is>
          <t>Australia</t>
        </is>
      </c>
      <c r="D50" t="n">
        <v>2</v>
      </c>
      <c r="E50" t="inlineStr">
        <is>
          <t>IDC Worldwide Quarterly Mobile Phone Tracker</t>
        </is>
      </c>
      <c r="F50" t="inlineStr">
        <is>
          <t>web_page</t>
        </is>
      </c>
      <c r="G50" t="inlineStr">
        <is>
          <t>site:idc.com Australia smartphone shipments units quarterly</t>
        </is>
      </c>
      <c r="H50" t="n">
        <v>5</v>
      </c>
      <c r="I50" s="2" t="inlineStr">
        <is>
          <t>no</t>
        </is>
      </c>
      <c r="J50" t="inlineStr"/>
      <c r="K50" t="inlineStr"/>
      <c r="L50" t="inlineStr"/>
      <c r="M50" t="inlineStr"/>
      <c r="N50" t="inlineStr"/>
      <c r="O50" t="inlineStr"/>
      <c r="P50" t="inlineStr"/>
      <c r="Q50" t="inlineStr">
        <is>
          <t>extraction_failed</t>
        </is>
      </c>
    </row>
    <row r="51">
      <c r="A51" t="inlineStr">
        <is>
          <t>Driver</t>
        </is>
      </c>
      <c r="B51" t="inlineStr">
        <is>
          <t>Total Laptops demand</t>
        </is>
      </c>
      <c r="C51" t="inlineStr">
        <is>
          <t>Australia</t>
        </is>
      </c>
      <c r="D51" t="n">
        <v>3</v>
      </c>
      <c r="E51" t="inlineStr">
        <is>
          <t>Canalys Smartphone Market Pulse</t>
        </is>
      </c>
      <c r="F51" t="inlineStr">
        <is>
          <t>web_page</t>
        </is>
      </c>
      <c r="G51" t="inlineStr">
        <is>
          <t>site:canalys.com Australia smartphone shipments million units</t>
        </is>
      </c>
      <c r="H51" t="n">
        <v>5</v>
      </c>
      <c r="I51" s="2" t="inlineStr">
        <is>
          <t>no</t>
        </is>
      </c>
      <c r="J51" t="inlineStr"/>
      <c r="K51" t="inlineStr"/>
      <c r="L51" t="inlineStr"/>
      <c r="M51" t="inlineStr"/>
      <c r="N51" t="inlineStr"/>
      <c r="O51" t="inlineStr"/>
      <c r="P51" t="inlineStr"/>
      <c r="Q51" t="inlineStr">
        <is>
          <t>extraction_failed</t>
        </is>
      </c>
    </row>
    <row r="52">
      <c r="A52" t="inlineStr">
        <is>
          <t>Driver</t>
        </is>
      </c>
      <c r="B52" t="inlineStr">
        <is>
          <t>Total Laptops demand</t>
        </is>
      </c>
      <c r="C52" t="inlineStr">
        <is>
          <t>Australia</t>
        </is>
      </c>
      <c r="D52" t="n">
        <v>4</v>
      </c>
      <c r="E52" t="inlineStr">
        <is>
          <t>Counterpoint Research Market Monitor</t>
        </is>
      </c>
      <c r="F52" t="inlineStr">
        <is>
          <t>web_page</t>
        </is>
      </c>
      <c r="G52" t="inlineStr">
        <is>
          <t>site:counterpointresearch.com Australia smartphone shipments units</t>
        </is>
      </c>
      <c r="H52" t="n">
        <v>5</v>
      </c>
      <c r="I52" s="2" t="inlineStr">
        <is>
          <t>no</t>
        </is>
      </c>
      <c r="J52" t="inlineStr"/>
      <c r="K52" t="inlineStr"/>
      <c r="L52" t="inlineStr"/>
      <c r="M52" t="inlineStr"/>
      <c r="N52" t="inlineStr"/>
      <c r="O52" t="inlineStr"/>
      <c r="P52" t="inlineStr"/>
      <c r="Q52" t="inlineStr">
        <is>
          <t>extraction_failed</t>
        </is>
      </c>
    </row>
    <row r="53">
      <c r="A53" t="inlineStr">
        <is>
          <t>Driver</t>
        </is>
      </c>
      <c r="B53" t="inlineStr">
        <is>
          <t>Total Laptops demand</t>
        </is>
      </c>
      <c r="C53" t="inlineStr">
        <is>
          <t>Australia</t>
        </is>
      </c>
      <c r="D53" t="n">
        <v>5</v>
      </c>
      <c r="E53" t="inlineStr">
        <is>
          <t>LLM best-effort claim(s)</t>
        </is>
      </c>
      <c r="F53" t="inlineStr">
        <is>
          <t>llm_claim</t>
        </is>
      </c>
      <c r="G53" t="inlineStr"/>
      <c r="H53" t="n">
        <v>0</v>
      </c>
      <c r="I53" s="2" t="inlineStr">
        <is>
          <t>no</t>
        </is>
      </c>
      <c r="J53" t="inlineStr"/>
      <c r="K53" t="inlineStr"/>
      <c r="L53" t="inlineStr"/>
      <c r="M53" t="inlineStr"/>
      <c r="N53" t="inlineStr"/>
      <c r="O53" t="inlineStr"/>
      <c r="P53" t="inlineStr"/>
      <c r="Q53" t="inlineStr">
        <is>
          <t>no_specific_claim</t>
        </is>
      </c>
    </row>
    <row r="54">
      <c r="A54" t="inlineStr">
        <is>
          <t>Driver</t>
        </is>
      </c>
      <c r="B54" t="inlineStr">
        <is>
          <t>Total Laptops demand</t>
        </is>
      </c>
      <c r="C54" t="inlineStr">
        <is>
          <t>Netherlands</t>
        </is>
      </c>
      <c r="D54" t="n">
        <v>1</v>
      </c>
      <c r="E54" t="inlineStr">
        <is>
          <t>Evidence Strategy source</t>
        </is>
      </c>
      <c r="F54" t="inlineStr">
        <is>
          <t>web_page</t>
        </is>
      </c>
      <c r="G54" t="inlineStr">
        <is>
          <t>Netherlands National smartphone shipments (apparent consumption) smartphones (units shipped)</t>
        </is>
      </c>
      <c r="H54" t="n">
        <v>0</v>
      </c>
      <c r="I54" s="2" t="inlineStr">
        <is>
          <t>no</t>
        </is>
      </c>
      <c r="J54" t="inlineStr"/>
      <c r="K54" t="inlineStr"/>
      <c r="L54" t="inlineStr"/>
      <c r="M54" t="inlineStr"/>
      <c r="N54" t="inlineStr"/>
      <c r="O54" t="inlineStr"/>
      <c r="P54" t="inlineStr"/>
      <c r="Q54" t="inlineStr">
        <is>
          <t>no_source_found</t>
        </is>
      </c>
    </row>
    <row r="55">
      <c r="A55" t="inlineStr">
        <is>
          <t>Driver</t>
        </is>
      </c>
      <c r="B55" t="inlineStr">
        <is>
          <t>Total Laptops demand</t>
        </is>
      </c>
      <c r="C55" t="inlineStr">
        <is>
          <t>Netherlands</t>
        </is>
      </c>
      <c r="D55" t="n">
        <v>2</v>
      </c>
      <c r="E55" t="inlineStr">
        <is>
          <t>IDC Worldwide Quarterly Mobile Phone Tracker</t>
        </is>
      </c>
      <c r="F55" t="inlineStr">
        <is>
          <t>web_page</t>
        </is>
      </c>
      <c r="G55" t="inlineStr">
        <is>
          <t>site:idc.com Netherlands smartphone shipments units quarterly</t>
        </is>
      </c>
      <c r="H55" t="n">
        <v>5</v>
      </c>
      <c r="I55" s="2" t="inlineStr">
        <is>
          <t>no</t>
        </is>
      </c>
      <c r="J55" t="inlineStr"/>
      <c r="K55" t="inlineStr"/>
      <c r="L55" t="inlineStr"/>
      <c r="M55" t="inlineStr"/>
      <c r="N55" t="inlineStr"/>
      <c r="O55" t="inlineStr"/>
      <c r="P55" t="inlineStr"/>
      <c r="Q55" t="inlineStr">
        <is>
          <t>extraction_failed</t>
        </is>
      </c>
    </row>
    <row r="56">
      <c r="A56" t="inlineStr">
        <is>
          <t>Driver</t>
        </is>
      </c>
      <c r="B56" t="inlineStr">
        <is>
          <t>Total Laptops demand</t>
        </is>
      </c>
      <c r="C56" t="inlineStr">
        <is>
          <t>Netherlands</t>
        </is>
      </c>
      <c r="D56" t="n">
        <v>3</v>
      </c>
      <c r="E56" t="inlineStr">
        <is>
          <t>Canalys Smartphone Market Pulse</t>
        </is>
      </c>
      <c r="F56" t="inlineStr">
        <is>
          <t>web_page</t>
        </is>
      </c>
      <c r="G56" t="inlineStr">
        <is>
          <t>site:canalys.com Netherlands smartphone shipments million units</t>
        </is>
      </c>
      <c r="H56" t="n">
        <v>5</v>
      </c>
      <c r="I56" s="2" t="inlineStr">
        <is>
          <t>no</t>
        </is>
      </c>
      <c r="J56" t="inlineStr"/>
      <c r="K56" t="inlineStr"/>
      <c r="L56" t="inlineStr"/>
      <c r="M56" t="inlineStr"/>
      <c r="N56" t="inlineStr"/>
      <c r="O56" t="inlineStr"/>
      <c r="P56" t="inlineStr"/>
      <c r="Q56" t="inlineStr">
        <is>
          <t>extraction_failed</t>
        </is>
      </c>
    </row>
    <row r="57">
      <c r="A57" t="inlineStr">
        <is>
          <t>Driver</t>
        </is>
      </c>
      <c r="B57" t="inlineStr">
        <is>
          <t>Total Laptops demand</t>
        </is>
      </c>
      <c r="C57" t="inlineStr">
        <is>
          <t>Netherlands</t>
        </is>
      </c>
      <c r="D57" t="n">
        <v>4</v>
      </c>
      <c r="E57" t="inlineStr">
        <is>
          <t>Counterpoint Research Market Monitor</t>
        </is>
      </c>
      <c r="F57" t="inlineStr">
        <is>
          <t>web_page</t>
        </is>
      </c>
      <c r="G57" t="inlineStr">
        <is>
          <t>site:counterpointresearch.com Netherlands smartphone shipments units</t>
        </is>
      </c>
      <c r="H57" t="n">
        <v>5</v>
      </c>
      <c r="I57" s="2" t="inlineStr">
        <is>
          <t>no</t>
        </is>
      </c>
      <c r="J57" t="inlineStr"/>
      <c r="K57" t="inlineStr"/>
      <c r="L57" t="inlineStr"/>
      <c r="M57" t="inlineStr"/>
      <c r="N57" t="inlineStr"/>
      <c r="O57" t="inlineStr"/>
      <c r="P57" t="inlineStr"/>
      <c r="Q57" t="inlineStr">
        <is>
          <t>extraction_failed</t>
        </is>
      </c>
    </row>
    <row r="58">
      <c r="A58" t="inlineStr">
        <is>
          <t>Driver</t>
        </is>
      </c>
      <c r="B58" t="inlineStr">
        <is>
          <t>Total Laptops demand</t>
        </is>
      </c>
      <c r="C58" t="inlineStr">
        <is>
          <t>Netherlands</t>
        </is>
      </c>
      <c r="D58" t="n">
        <v>5</v>
      </c>
      <c r="E58" t="inlineStr">
        <is>
          <t>LLM best-effort claim(s)</t>
        </is>
      </c>
      <c r="F58" t="inlineStr">
        <is>
          <t>llm_claim</t>
        </is>
      </c>
      <c r="G58" t="inlineStr"/>
      <c r="H58" t="n">
        <v>0</v>
      </c>
      <c r="I58" s="2" t="inlineStr">
        <is>
          <t>no</t>
        </is>
      </c>
      <c r="J58" t="inlineStr"/>
      <c r="K58" t="inlineStr"/>
      <c r="L58" t="inlineStr"/>
      <c r="M58" t="inlineStr"/>
      <c r="N58" t="inlineStr"/>
      <c r="O58" t="inlineStr"/>
      <c r="P58" t="inlineStr"/>
      <c r="Q58" t="inlineStr">
        <is>
          <t>no_specific_claim</t>
        </is>
      </c>
    </row>
    <row r="59">
      <c r="A59" t="inlineStr">
        <is>
          <t>Driver</t>
        </is>
      </c>
      <c r="B59" t="inlineStr">
        <is>
          <t>Total Laptops demand</t>
        </is>
      </c>
      <c r="C59" t="inlineStr">
        <is>
          <t>Rest of World</t>
        </is>
      </c>
      <c r="D59" t="n">
        <v>1</v>
      </c>
      <c r="E59" t="inlineStr">
        <is>
          <t>Evidence Strategy source</t>
        </is>
      </c>
      <c r="F59" t="inlineStr">
        <is>
          <t>web_page</t>
        </is>
      </c>
      <c r="G59" t="inlineStr">
        <is>
          <t>Rest of World National smartphone shipments (apparent consumption) smartphones (units shipped)</t>
        </is>
      </c>
      <c r="H59" t="n">
        <v>5</v>
      </c>
      <c r="I59" s="2" t="inlineStr">
        <is>
          <t>no</t>
        </is>
      </c>
      <c r="J59" t="inlineStr"/>
      <c r="K59" t="inlineStr"/>
      <c r="L59" t="inlineStr"/>
      <c r="M59" t="inlineStr"/>
      <c r="N59" t="inlineStr"/>
      <c r="O59" t="inlineStr"/>
      <c r="P59" t="inlineStr"/>
      <c r="Q59" t="inlineStr">
        <is>
          <t>extraction_failed</t>
        </is>
      </c>
    </row>
    <row r="60">
      <c r="A60" t="inlineStr">
        <is>
          <t>Driver</t>
        </is>
      </c>
      <c r="B60" t="inlineStr">
        <is>
          <t>Total Laptops demand</t>
        </is>
      </c>
      <c r="C60" t="inlineStr">
        <is>
          <t>Rest of World</t>
        </is>
      </c>
      <c r="D60" t="n">
        <v>2</v>
      </c>
      <c r="E60" t="inlineStr">
        <is>
          <t>IDC Worldwide Quarterly Mobile Phone Tracker</t>
        </is>
      </c>
      <c r="F60" t="inlineStr">
        <is>
          <t>web_page</t>
        </is>
      </c>
      <c r="G60" t="inlineStr">
        <is>
          <t>site:idc.com Rest of World smartphone shipments units quarterly</t>
        </is>
      </c>
      <c r="H60" t="n">
        <v>5</v>
      </c>
      <c r="I60" s="2" t="inlineStr">
        <is>
          <t>no</t>
        </is>
      </c>
      <c r="J60" t="inlineStr"/>
      <c r="K60" t="inlineStr"/>
      <c r="L60" t="inlineStr"/>
      <c r="M60" t="inlineStr"/>
      <c r="N60" t="inlineStr"/>
      <c r="O60" t="inlineStr"/>
      <c r="P60" t="inlineStr"/>
      <c r="Q60" t="inlineStr">
        <is>
          <t>extraction_failed</t>
        </is>
      </c>
    </row>
    <row r="61">
      <c r="A61" t="inlineStr">
        <is>
          <t>Driver</t>
        </is>
      </c>
      <c r="B61" t="inlineStr">
        <is>
          <t>Total Laptops demand</t>
        </is>
      </c>
      <c r="C61" t="inlineStr">
        <is>
          <t>Rest of World</t>
        </is>
      </c>
      <c r="D61" t="n">
        <v>3</v>
      </c>
      <c r="E61" t="inlineStr">
        <is>
          <t>Canalys Smartphone Market Pulse</t>
        </is>
      </c>
      <c r="F61" t="inlineStr">
        <is>
          <t>web_page</t>
        </is>
      </c>
      <c r="G61" t="inlineStr">
        <is>
          <t>site:canalys.com Rest of World smartphone shipments million units</t>
        </is>
      </c>
      <c r="H61" t="n">
        <v>5</v>
      </c>
      <c r="I61" s="2" t="inlineStr">
        <is>
          <t>no</t>
        </is>
      </c>
      <c r="J61" t="inlineStr"/>
      <c r="K61" t="inlineStr"/>
      <c r="L61" t="inlineStr"/>
      <c r="M61" t="inlineStr"/>
      <c r="N61" t="inlineStr"/>
      <c r="O61" t="inlineStr"/>
      <c r="P61" t="inlineStr"/>
      <c r="Q61" t="inlineStr">
        <is>
          <t>extraction_failed</t>
        </is>
      </c>
    </row>
    <row r="62">
      <c r="A62" t="inlineStr">
        <is>
          <t>Driver</t>
        </is>
      </c>
      <c r="B62" t="inlineStr">
        <is>
          <t>Total Laptops demand</t>
        </is>
      </c>
      <c r="C62" t="inlineStr">
        <is>
          <t>Rest of World</t>
        </is>
      </c>
      <c r="D62" t="n">
        <v>4</v>
      </c>
      <c r="E62" t="inlineStr">
        <is>
          <t>Counterpoint Research Market Monitor</t>
        </is>
      </c>
      <c r="F62" t="inlineStr">
        <is>
          <t>web_page</t>
        </is>
      </c>
      <c r="G62" t="inlineStr">
        <is>
          <t>site:counterpointresearch.com Rest of World smartphone shipments units</t>
        </is>
      </c>
      <c r="H62" t="n">
        <v>5</v>
      </c>
      <c r="I62" s="2" t="inlineStr">
        <is>
          <t>no</t>
        </is>
      </c>
      <c r="J62" t="inlineStr"/>
      <c r="K62" t="inlineStr"/>
      <c r="L62" t="inlineStr"/>
      <c r="M62" t="inlineStr"/>
      <c r="N62" t="inlineStr"/>
      <c r="O62" t="inlineStr"/>
      <c r="P62" t="inlineStr"/>
      <c r="Q62" t="inlineStr">
        <is>
          <t>extraction_failed</t>
        </is>
      </c>
    </row>
    <row r="63">
      <c r="A63" t="inlineStr">
        <is>
          <t>Driver</t>
        </is>
      </c>
      <c r="B63" t="inlineStr">
        <is>
          <t>Total Laptops demand</t>
        </is>
      </c>
      <c r="C63" t="inlineStr">
        <is>
          <t>Rest of World</t>
        </is>
      </c>
      <c r="D63" t="n">
        <v>5</v>
      </c>
      <c r="E63" t="inlineStr">
        <is>
          <t>LLM best-effort claim(s)</t>
        </is>
      </c>
      <c r="F63" t="inlineStr">
        <is>
          <t>llm_claim</t>
        </is>
      </c>
      <c r="G63" t="inlineStr"/>
      <c r="H63" t="n">
        <v>0</v>
      </c>
      <c r="I63" s="2" t="inlineStr">
        <is>
          <t>no</t>
        </is>
      </c>
      <c r="J63" t="inlineStr"/>
      <c r="K63" t="inlineStr"/>
      <c r="L63" t="inlineStr"/>
      <c r="M63" t="inlineStr"/>
      <c r="N63" t="inlineStr"/>
      <c r="O63" t="inlineStr"/>
      <c r="P63" t="inlineStr"/>
      <c r="Q63" t="inlineStr">
        <is>
          <t>no_specific_claim</t>
        </is>
      </c>
    </row>
    <row r="64">
      <c r="A64" t="inlineStr">
        <is>
          <t>Price</t>
        </is>
      </c>
      <c r="B64" t="inlineStr">
        <is>
          <t>Total Laptops demand</t>
        </is>
      </c>
      <c r="C64" t="inlineStr">
        <is>
          <t>global</t>
        </is>
      </c>
      <c r="D64" t="n">
        <v>1</v>
      </c>
      <c r="E64" t="inlineStr">
        <is>
          <t>Evidence Strategy source</t>
        </is>
      </c>
      <c r="F64" t="inlineStr">
        <is>
          <t>web_page</t>
        </is>
      </c>
      <c r="G64" t="inlineStr">
        <is>
          <t>global laptop spot price benchmark</t>
        </is>
      </c>
      <c r="H64" t="n">
        <v>5</v>
      </c>
      <c r="I64" s="2" t="inlineStr">
        <is>
          <t>no</t>
        </is>
      </c>
      <c r="J64" t="inlineStr"/>
      <c r="K64" t="inlineStr"/>
      <c r="L64" t="inlineStr"/>
      <c r="M64" t="inlineStr"/>
      <c r="N64" t="inlineStr"/>
      <c r="O64" t="inlineStr"/>
      <c r="P64" t="inlineStr"/>
      <c r="Q64" t="inlineStr">
        <is>
          <t>extraction_failed</t>
        </is>
      </c>
    </row>
    <row r="65">
      <c r="A65" t="inlineStr">
        <is>
          <t>Price</t>
        </is>
      </c>
      <c r="B65" t="inlineStr">
        <is>
          <t>Total Laptops demand</t>
        </is>
      </c>
      <c r="C65" t="inlineStr">
        <is>
          <t>global</t>
        </is>
      </c>
      <c r="D65" t="n">
        <v>2</v>
      </c>
      <c r="E65" t="inlineStr">
        <is>
          <t>IDC Worldwide Quarterly Personal Computing Device Tracker</t>
        </is>
      </c>
      <c r="F65" t="inlineStr">
        <is>
          <t>web_page</t>
        </is>
      </c>
      <c r="G65" t="inlineStr">
        <is>
          <t>site:idc.com global laptop average selling price ASP ex-factory wholesale</t>
        </is>
      </c>
      <c r="H65" t="n">
        <v>5</v>
      </c>
      <c r="I65" s="2" t="inlineStr">
        <is>
          <t>no</t>
        </is>
      </c>
      <c r="J65" t="inlineStr"/>
      <c r="K65" t="inlineStr"/>
      <c r="L65" t="inlineStr"/>
      <c r="M65" t="inlineStr"/>
      <c r="N65" t="inlineStr"/>
      <c r="O65" t="inlineStr"/>
      <c r="P65" t="inlineStr"/>
      <c r="Q65" t="inlineStr">
        <is>
          <t>extraction_failed</t>
        </is>
      </c>
    </row>
    <row r="66">
      <c r="A66" t="inlineStr">
        <is>
          <t>Price</t>
        </is>
      </c>
      <c r="B66" t="inlineStr">
        <is>
          <t>Total Laptops demand</t>
        </is>
      </c>
      <c r="C66" t="inlineStr">
        <is>
          <t>global</t>
        </is>
      </c>
      <c r="D66" t="n">
        <v>3</v>
      </c>
      <c r="E66" t="inlineStr">
        <is>
          <t>Gartner Worldwide PC Shipments Press Releases</t>
        </is>
      </c>
      <c r="F66" t="inlineStr">
        <is>
          <t>web_page</t>
        </is>
      </c>
      <c r="G66" t="inlineStr">
        <is>
          <t>site:gartner.com global PC laptop shipments average selling price ASP</t>
        </is>
      </c>
      <c r="H66" t="n">
        <v>5</v>
      </c>
      <c r="I66" s="2" t="inlineStr">
        <is>
          <t>no</t>
        </is>
      </c>
      <c r="J66" t="inlineStr"/>
      <c r="K66" t="inlineStr"/>
      <c r="L66" t="inlineStr"/>
      <c r="M66" t="inlineStr"/>
      <c r="N66" t="inlineStr"/>
      <c r="O66" t="inlineStr"/>
      <c r="P66" t="inlineStr"/>
      <c r="Q66" t="inlineStr">
        <is>
          <t>extraction_failed</t>
        </is>
      </c>
    </row>
    <row r="67">
      <c r="A67" t="inlineStr">
        <is>
          <t>Price</t>
        </is>
      </c>
      <c r="B67" t="inlineStr">
        <is>
          <t>Total Laptops demand</t>
        </is>
      </c>
      <c r="C67" t="inlineStr">
        <is>
          <t>global</t>
        </is>
      </c>
      <c r="D67" t="n">
        <v>4</v>
      </c>
      <c r="E67" t="inlineStr">
        <is>
          <t>Canalys PC and Smartphone Shipment Analysis</t>
        </is>
      </c>
      <c r="F67" t="inlineStr">
        <is>
          <t>web_page</t>
        </is>
      </c>
      <c r="G67" t="inlineStr">
        <is>
          <t>site:canalys.com global laptop notebook average selling price ASP shipments</t>
        </is>
      </c>
      <c r="H67" t="n">
        <v>5</v>
      </c>
      <c r="I67" s="2" t="inlineStr">
        <is>
          <t>no</t>
        </is>
      </c>
      <c r="J67" t="inlineStr"/>
      <c r="K67" t="inlineStr"/>
      <c r="L67" t="inlineStr"/>
      <c r="M67" t="inlineStr"/>
      <c r="N67" t="inlineStr"/>
      <c r="O67" t="inlineStr"/>
      <c r="P67" t="inlineStr"/>
      <c r="Q67" t="inlineStr">
        <is>
          <t>extraction_failed</t>
        </is>
      </c>
    </row>
    <row r="68">
      <c r="A68" t="inlineStr">
        <is>
          <t>Price</t>
        </is>
      </c>
      <c r="B68" t="inlineStr">
        <is>
          <t>Total Laptops demand</t>
        </is>
      </c>
      <c r="C68" t="inlineStr">
        <is>
          <t>global</t>
        </is>
      </c>
      <c r="D68" t="n">
        <v>5</v>
      </c>
      <c r="E68" t="inlineStr">
        <is>
          <t>LLM best-effort claim(s)</t>
        </is>
      </c>
      <c r="F68" t="inlineStr">
        <is>
          <t>llm_claim</t>
        </is>
      </c>
      <c r="G68" t="inlineStr"/>
      <c r="H68" t="n">
        <v>0</v>
      </c>
      <c r="I68" s="2" t="inlineStr">
        <is>
          <t>no</t>
        </is>
      </c>
      <c r="J68" t="inlineStr"/>
      <c r="K68" t="inlineStr"/>
      <c r="L68" t="inlineStr"/>
      <c r="M68" t="inlineStr"/>
      <c r="N68" t="inlineStr"/>
      <c r="O68" t="inlineStr"/>
      <c r="P68" t="inlineStr"/>
      <c r="Q68"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67</v>
      </c>
    </row>
    <row r="3">
      <c r="A3" t="inlineStr">
        <is>
          <t>llm_claim: attempts / found</t>
        </is>
      </c>
      <c r="B3" t="inlineStr">
        <is>
          <t>13 / 0</t>
        </is>
      </c>
    </row>
    <row r="4">
      <c r="A4" t="inlineStr">
        <is>
          <t>web_page: attempts / found</t>
        </is>
      </c>
      <c r="B4" t="inlineStr">
        <is>
          <t>54 / 1</t>
        </is>
      </c>
    </row>
    <row r="6">
      <c r="A6" s="1" t="inlineStr">
        <is>
          <t>Rejection reasons (misses only)</t>
        </is>
      </c>
    </row>
    <row r="7">
      <c r="A7" t="inlineStr">
        <is>
          <t>extraction_failed</t>
        </is>
      </c>
      <c r="B7" t="n">
        <v>41</v>
      </c>
    </row>
    <row r="8">
      <c r="A8" t="inlineStr">
        <is>
          <t>no_specific_claim</t>
        </is>
      </c>
      <c r="B8" t="n">
        <v>13</v>
      </c>
    </row>
    <row r="9">
      <c r="A9" t="inlineStr">
        <is>
          <t>no_source_found</t>
        </is>
      </c>
      <c r="B9" t="n">
        <v>11</v>
      </c>
    </row>
    <row r="10">
      <c r="A10" t="inlineStr">
        <is>
          <t>geography_mismatch</t>
        </is>
      </c>
      <c r="B1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(no independent benchmark evidence found -- informational sheet only, never used to adjust the bottom-up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(none -- no driver/intensity/derived-quantity/price magnitude, country-vs-parent, usage-vs-parent-category, or year/period check was flagged this run)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Total Laptops demand</t>
        </is>
      </c>
      <c r="B2" t="inlineStr">
        <is>
          <t>National smartphone shipments (apparent consumption)</t>
        </is>
      </c>
      <c r="C2" t="inlineStr">
        <is>
          <t>smartphones (units shipped)</t>
        </is>
      </c>
      <c r="D2" t="inlineStr"/>
      <c r="E2" t="inlineStr">
        <is>
          <t>United States, China, Japan, Germany, United Kingdom, India, South Korea, France, Canada, Brazil, Australia, Netherlands, Rest of World</t>
        </is>
      </c>
      <c r="F2" t="inlineStr">
        <is>
          <t>government_statistics, international_organization</t>
        </is>
      </c>
      <c r="G2" t="inlineStr"/>
      <c r="H2" t="inlineStr">
        <is>
          <t>{country} National smartphone shipments (apparent consumption) smartphones (units shipped)</t>
        </is>
      </c>
      <c r="I2" t="inlineStr">
        <is>
          <t>industry_association, research_consulting</t>
        </is>
      </c>
      <c r="J2" t="inlineStr">
        <is>
          <t>Country-level smartphone shipment data from IDC, Canalys, or Counterpoint Research (quarterly or annual units shipped) | National trade statistics for HS code 8517.12 (telephones for cellular networks or other wireless networks) to compute apparent consumption = domestic production + imports - exports | Industry association reports (e.g., GSMA, national electronics associations) on smartphone sell-through or activations | Government statistics on household consumption of communication equipment or retail sales of mobile phones</t>
        </is>
      </c>
      <c r="K2" t="inlineStr">
        <is>
          <t>driver_value</t>
        </is>
      </c>
      <c r="L2" t="inlineStr">
        <is>
          <t>Country-level smartphone shipment data from IDC, Canalys, or Counterpoint Research (quarterly or annual units shipped); National trade statistics for HS code 8517.12 (telephones for cellular networks or other wireless networks) to compute apparent consumption = domestic production + imports - exports; Industry association reports (e.g., GSMA, national electronics associations) on smartphone sell-through or activations; Government statistics on household consumption of communication equipment or retail sales of mobile phones</t>
        </is>
      </c>
      <c r="M2" t="inlineStr">
        <is>
          <t>Reused from a previously-derived driver methodology for a semantically similar usage bucket (driver_library match similarity 0.8454).</t>
        </is>
      </c>
      <c r="N2" t="inlineStr">
        <is>
          <t>reused_library_default</t>
        </is>
      </c>
      <c r="O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Total Laptops demand</t>
        </is>
      </c>
      <c r="B2" t="inlineStr">
        <is>
          <t>smartphones (units shipped)</t>
        </is>
      </c>
      <c r="C2" t="inlineStr">
        <is>
          <t>laptop</t>
        </is>
      </c>
      <c r="D2" t="inlineStr">
        <is>
          <t>YES</t>
        </is>
      </c>
      <c r="E2" t="inlineStr"/>
      <c r="F2" t="inlineStr"/>
      <c r="G2" t="inlineStr"/>
      <c r="H2" t="inlineStr"/>
      <c r="I2" t="inlineStr">
        <is>
          <t>The market is Laptops, so the real sellable commodity is a laptop (units shipped), which has a published market price. The finished-demand unit given ('smartphones') is inconsistent with the stated market and is not the priced product; no conversion factor is applicable.</t>
        </is>
      </c>
      <c r="J2" t="inlineStr"/>
      <c r="K2" t="n">
        <v>550</v>
      </c>
      <c r="L2" t="inlineStr">
        <is>
          <t>USD per smartphones units shipped</t>
        </is>
      </c>
      <c r="M2"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Total Laptops demand</t>
        </is>
      </c>
      <c r="B2" s="3" t="inlineStr">
        <is>
          <t>ok</t>
        </is>
      </c>
      <c r="C2" t="inlineStr">
        <is>
          <t>smartphones (units shipped)</t>
        </is>
      </c>
      <c r="D2" t="n">
        <v>1</v>
      </c>
      <c r="E2" t="inlineStr">
        <is>
          <t>smartphones units shipped</t>
        </is>
      </c>
      <c r="G2" t="n">
        <v>550</v>
      </c>
      <c r="H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630850</v>
      </c>
    </row>
    <row r="3">
      <c r="A3" t="inlineStr">
        <is>
          <t>+ Residual / Uncovered (implied by coverage gap -- NOT evidence-built, NOT in any bucket)</t>
        </is>
      </c>
    </row>
    <row r="4">
      <c r="A4" t="inlineStr">
        <is>
          <t>+ Related Demand (inventory/reserve, reported separately)</t>
        </is>
      </c>
      <c r="B4" t="n">
        <v>0</v>
      </c>
    </row>
    <row r="5">
      <c r="A5" s="1">
        <f> Reported Market View</f>
        <v/>
      </c>
      <c r="B5" s="1" t="n">
        <v>630850</v>
      </c>
    </row>
    <row r="6">
      <c r="A6" t="inlineStr">
        <is>
          <t>Estimated Coverage % (bounded pipeline estimate -- NOT verified market knowledge)</t>
        </is>
      </c>
      <c r="B6" t="inlineStr">
        <is>
          <t>n/a</t>
        </is>
      </c>
    </row>
    <row r="7">
      <c r="A7" t="inlineStr">
        <is>
          <t>Coverage threshold (configurable)</t>
        </is>
      </c>
      <c r="B7" t="inlineStr">
        <is>
          <t>85%</t>
        </is>
      </c>
    </row>
    <row r="9">
      <c r="A9" s="1" t="inlineStr">
        <is>
          <t>Evidence Quality</t>
        </is>
      </c>
    </row>
    <row r="10">
      <c r="A10" t="inlineStr">
        <is>
          <t>Verified observed inputs</t>
        </is>
      </c>
      <c r="B10" t="inlineStr">
        <is>
          <t>0.0%</t>
        </is>
      </c>
    </row>
    <row r="11">
      <c r="A11" t="inlineStr">
        <is>
          <t>Derived inputs</t>
        </is>
      </c>
      <c r="B11" t="inlineStr">
        <is>
          <t>0.0%</t>
        </is>
      </c>
    </row>
    <row r="12">
      <c r="A12" t="inlineStr">
        <is>
          <t>Source found, unverified inputs</t>
        </is>
      </c>
      <c r="B12" t="inlineStr">
        <is>
          <t>0.0%</t>
        </is>
      </c>
    </row>
    <row r="13">
      <c r="A13" t="inlineStr">
        <is>
          <t>Assumption inputs</t>
        </is>
      </c>
      <c r="B13" t="inlineStr">
        <is>
          <t>100.0%</t>
        </is>
      </c>
    </row>
    <row r="15">
      <c r="A15" s="1" t="inlineStr">
        <is>
          <t>Country</t>
        </is>
      </c>
      <c r="B15" s="1" t="inlineStr">
        <is>
          <t>Included Demand (US$ Mn)</t>
        </is>
      </c>
      <c r="C15" s="1" t="inlineStr">
        <is>
          <t>Related Demand (US$ Mn)</t>
        </is>
      </c>
    </row>
    <row r="16">
      <c r="A16" t="inlineStr">
        <is>
          <t>United States</t>
        </is>
      </c>
      <c r="B16" t="n">
        <v>88000</v>
      </c>
      <c r="C16" t="n">
        <v>0</v>
      </c>
    </row>
    <row r="17">
      <c r="A17" t="inlineStr">
        <is>
          <t>China</t>
        </is>
      </c>
      <c r="B17" t="n">
        <v>192500</v>
      </c>
      <c r="C17" t="n">
        <v>0</v>
      </c>
    </row>
    <row r="18">
      <c r="A18" t="inlineStr">
        <is>
          <t>Japan</t>
        </is>
      </c>
      <c r="B18" t="n">
        <v>16500</v>
      </c>
      <c r="C18" t="n">
        <v>0</v>
      </c>
    </row>
    <row r="19">
      <c r="A19" t="inlineStr">
        <is>
          <t>Germany</t>
        </is>
      </c>
      <c r="B19" t="n">
        <v>12100</v>
      </c>
      <c r="C19" t="n">
        <v>0</v>
      </c>
    </row>
    <row r="20">
      <c r="A20" t="inlineStr">
        <is>
          <t>United Kingdom</t>
        </is>
      </c>
      <c r="B20" t="n">
        <v>13750</v>
      </c>
      <c r="C20" t="n">
        <v>0</v>
      </c>
    </row>
    <row r="21">
      <c r="A21" t="inlineStr">
        <is>
          <t>India</t>
        </is>
      </c>
      <c r="B21" t="n">
        <v>82500</v>
      </c>
      <c r="C21" t="n">
        <v>0</v>
      </c>
    </row>
    <row r="22">
      <c r="A22" t="inlineStr">
        <is>
          <t>South Korea</t>
        </is>
      </c>
      <c r="B22" t="n">
        <v>11000</v>
      </c>
      <c r="C22" t="n">
        <v>0</v>
      </c>
    </row>
    <row r="23">
      <c r="A23" t="inlineStr">
        <is>
          <t>France</t>
        </is>
      </c>
      <c r="B23" t="n">
        <v>11000</v>
      </c>
      <c r="C23" t="n">
        <v>0</v>
      </c>
    </row>
    <row r="24">
      <c r="A24" t="inlineStr">
        <is>
          <t>Canada</t>
        </is>
      </c>
      <c r="B24" t="n">
        <v>8250</v>
      </c>
      <c r="C24" t="n">
        <v>0</v>
      </c>
    </row>
    <row r="25">
      <c r="A25" t="inlineStr">
        <is>
          <t>Brazil</t>
        </is>
      </c>
      <c r="B25" t="n">
        <v>22000</v>
      </c>
      <c r="C25" t="n">
        <v>0</v>
      </c>
    </row>
    <row r="26">
      <c r="A26" t="inlineStr">
        <is>
          <t>Australia</t>
        </is>
      </c>
      <c r="B26" t="n">
        <v>5500</v>
      </c>
      <c r="C26" t="n">
        <v>0</v>
      </c>
    </row>
    <row r="27">
      <c r="A27" t="inlineStr">
        <is>
          <t>Netherlands</t>
        </is>
      </c>
      <c r="B27" t="n">
        <v>2750</v>
      </c>
      <c r="C27" t="n">
        <v>0</v>
      </c>
    </row>
    <row r="28">
      <c r="A28" t="inlineStr">
        <is>
          <t>Rest of World</t>
        </is>
      </c>
      <c r="B28" t="n">
        <v>165000</v>
      </c>
      <c r="C28" t="n">
        <v>0</v>
      </c>
    </row>
    <row r="30">
      <c r="A30" s="1" t="inlineStr">
        <is>
          <t>Global Total</t>
        </is>
      </c>
      <c r="B30" t="n">
        <v>630850</v>
      </c>
      <c r="C30"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0.55</t>
        </is>
      </c>
    </row>
    <row r="4">
      <c r="A4" t="inlineStr">
        <is>
          <t>arithmetic_ok</t>
        </is>
      </c>
      <c r="B4" t="inlineStr">
        <is>
          <t>True</t>
        </is>
      </c>
    </row>
    <row r="5">
      <c r="A5" t="inlineStr">
        <is>
          <t>coverage_pct</t>
        </is>
      </c>
      <c r="B5" t="inlineStr">
        <is>
          <t>None</t>
        </is>
      </c>
    </row>
    <row r="6">
      <c r="A6" t="inlineStr">
        <is>
          <t>coverage_threshold_pct</t>
        </is>
      </c>
      <c r="B6" t="inlineStr">
        <is>
          <t>85.0</t>
        </is>
      </c>
    </row>
    <row r="7">
      <c r="A7" t="inlineStr">
        <is>
          <t>included_demand_usd_mn</t>
        </is>
      </c>
      <c r="B7" t="inlineStr">
        <is>
          <t>630850.0</t>
        </is>
      </c>
    </row>
    <row r="8">
      <c r="A8" t="inlineStr">
        <is>
          <t>related_demand_value_usd_mn</t>
        </is>
      </c>
      <c r="B8" t="inlineStr">
        <is>
          <t>0.0</t>
        </is>
      </c>
    </row>
    <row r="9">
      <c r="A9" t="inlineStr">
        <is>
          <t>residual_implied_usd_mn</t>
        </is>
      </c>
      <c r="B9" t="inlineStr">
        <is>
          <t>None</t>
        </is>
      </c>
    </row>
    <row r="10">
      <c r="A10" t="inlineStr">
        <is>
          <t>reported_market_view_usd_mn</t>
        </is>
      </c>
      <c r="B10" t="inlineStr">
        <is>
          <t>630850.0</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A18" s="1" t="inlineStr">
        <is>
          <t>Intensity-fraction-clamped buckets</t>
        </is>
      </c>
    </row>
    <row r="19">
      <c r="A19" s="1" t="inlineStr">
        <is>
          <t>Unit contract violations (excluded from calculation)</t>
        </is>
      </c>
    </row>
    <row r="20">
      <c r="A20" s="1" t="inlineStr">
        <is>
          <t>LLM CALL FAILURES (infrastructure, not genuine estimates)</t>
        </is>
      </c>
    </row>
    <row r="21">
      <c r="A21" s="1" t="inlineStr">
        <is>
          <t>Price plausibility flags</t>
        </is>
      </c>
    </row>
    <row r="22">
      <c r="A22" s="1" t="inlineStr">
        <is>
          <t>Unit mismatch flags</t>
        </is>
      </c>
    </row>
    <row r="23">
      <c r="A23" s="1" t="inlineStr">
        <is>
          <t>Stale evidence source flags</t>
        </is>
      </c>
    </row>
    <row r="24">
      <c r="A24" s="1" t="inlineStr">
        <is>
          <t>Driver magnitude implausible flags</t>
        </is>
      </c>
    </row>
    <row r="25">
      <c r="A25" s="1" t="inlineStr">
        <is>
          <t>Triangulation large-gap flags (informational)</t>
        </is>
      </c>
    </row>
    <row r="26">
      <c r="A26" s="1" t="inlineStr">
        <is>
          <t>Magnitude cross-validation discrepancy flags</t>
        </is>
      </c>
    </row>
    <row r="27">
      <c r="A27" s="1" t="inlineStr">
        <is>
          <t>Other problems</t>
        </is>
      </c>
    </row>
    <row r="28">
      <c r="B28" t="inlineStr">
        <is>
          <t>Only one usage bucket ('Total Laptops demand') is provided, so no double-counting can be assessed within the bucket structure; however, the bucket itself is a tautological aggregate rather than a usage-based demand segment, which undermines the bottom-up construction.</t>
        </is>
      </c>
    </row>
    <row r="29">
      <c r="B29" t="inlineStr">
        <is>
          <t>The country totals appear to be a single aggregate laptop market figure split by geography, not built from distinct usage buckets; if any underlying usage categories (e.g., consumer, commercial, education, gaming) were summed elsewhere, they would double-count the same demand, but that cannot be verified from the given data.</t>
        </is>
      </c>
    </row>
    <row r="30">
      <c r="B30" t="inlineStr">
        <is>
          <t>The global total is exactly the sum of country totals, so there is no arithmetic double-counting at the country level, but the lack of segmentation means the 'usage-based' claim is unsupported and likely masks overlapping demand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2026-10-08T10:30:03Z</dcterms:created>
  <dcterms:modified xmlns:dcterms="http://purl.org/dc/terms/" xmlns:xsi="http://www.w3.org/2001/XMLSchema-instance" xsi:type="dcterms:W3CDTF">2026-10-08T10:30:03Z</dcterms:modified>
</cp:coreProperties>
</file>